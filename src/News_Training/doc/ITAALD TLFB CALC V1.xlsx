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codeName="ThisWorkbook"/>
  <mc:AlternateContent xmlns:mc="http://schemas.openxmlformats.org/markup-compatibility/2006">
    <mc:Choice Requires="x15">
      <x15ac:absPath xmlns:x15ac="http://schemas.microsoft.com/office/spreadsheetml/2010/11/ac" url="/Users/ericdevine/Desktop/"/>
    </mc:Choice>
  </mc:AlternateContent>
  <xr:revisionPtr revIDLastSave="113" documentId="13_ncr:1_{F4A44630-0247-0847-94FA-2AFF63D62940}" xr6:coauthVersionLast="47" xr6:coauthVersionMax="47" xr10:uidLastSave="{4E02BBCE-5C36-458E-9D00-B91EEDE581F6}"/>
  <bookViews>
    <workbookView xWindow="0" yWindow="780" windowWidth="30240" windowHeight="17800" tabRatio="718" firstSheet="7" xr2:uid="{00000000-000D-0000-FFFF-FFFF00000000}"/>
  </bookViews>
  <sheets>
    <sheet name="Calculator" sheetId="1" r:id="rId1"/>
    <sheet name="P1 Chart" sheetId="55643" r:id="rId2"/>
    <sheet name="Eligibility" sheetId="3" r:id="rId3"/>
    <sheet name="Dup Calc" sheetId="55641" r:id="rId4"/>
    <sheet name="Dup P1 Chart" sheetId="55644" r:id="rId5"/>
    <sheet name="Mixed Drink Calc" sheetId="55642" r:id="rId6"/>
    <sheet name="CRF and Validation" sheetId="55647" r:id="rId7"/>
    <sheet name="EXPORT" sheetId="55649" r:id="rId8"/>
  </sheets>
  <definedNames>
    <definedName name="_xlnm.Print_Area" localSheetId="0">Calculator!$102:$124</definedName>
    <definedName name="_xlnm.Print_Area" localSheetId="6">'CRF and Validation'!$A$1:$I$126</definedName>
    <definedName name="_xlnm.Print_Area" localSheetId="2">Eligibility!$B$1:$F$38</definedName>
    <definedName name="_xlnm.Print_Titles" localSheetId="0">Calculator!$2:$8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55649" l="1"/>
  <c r="B27" i="55649"/>
  <c r="B28" i="55649"/>
  <c r="B29" i="55649"/>
  <c r="B30" i="55649"/>
  <c r="B31" i="55649"/>
  <c r="B32" i="55649"/>
  <c r="B33" i="55649"/>
  <c r="B34" i="55649"/>
  <c r="B35" i="55649"/>
  <c r="B36" i="55649"/>
  <c r="B37" i="55649"/>
  <c r="B38" i="55649"/>
  <c r="B39" i="55649"/>
  <c r="B40" i="55649"/>
  <c r="B41" i="55649"/>
  <c r="B42" i="55649"/>
  <c r="B43" i="55649"/>
  <c r="B44" i="55649"/>
  <c r="B45" i="55649"/>
  <c r="B46" i="55649"/>
  <c r="B47" i="55649"/>
  <c r="B48" i="55649"/>
  <c r="B49" i="55649"/>
  <c r="B50" i="55649"/>
  <c r="B51" i="55649"/>
  <c r="B52" i="55649"/>
  <c r="B53" i="55649"/>
  <c r="B54" i="55649"/>
  <c r="B55" i="55649"/>
  <c r="B56" i="55649"/>
  <c r="B57" i="55649"/>
  <c r="B58" i="55649"/>
  <c r="B59" i="55649"/>
  <c r="B60" i="55649"/>
  <c r="B61" i="55649"/>
  <c r="B62" i="55649"/>
  <c r="B63" i="55649"/>
  <c r="B64" i="55649"/>
  <c r="B65" i="55649"/>
  <c r="B66" i="55649"/>
  <c r="B67" i="55649"/>
  <c r="B68" i="55649"/>
  <c r="B69" i="55649"/>
  <c r="B70" i="55649"/>
  <c r="B71" i="55649"/>
  <c r="B72" i="55649"/>
  <c r="B73" i="55649"/>
  <c r="B74" i="55649"/>
  <c r="B75" i="55649"/>
  <c r="B76" i="55649"/>
  <c r="B77" i="55649"/>
  <c r="B78" i="55649"/>
  <c r="B79" i="55649"/>
  <c r="B80" i="55649"/>
  <c r="B81" i="55649"/>
  <c r="B82" i="55649"/>
  <c r="B83" i="55649"/>
  <c r="B84" i="55649"/>
  <c r="B85" i="55649"/>
  <c r="B86" i="55649"/>
  <c r="B87" i="55649"/>
  <c r="B88" i="55649"/>
  <c r="B89" i="55649"/>
  <c r="B90" i="55649"/>
  <c r="B91" i="55649"/>
  <c r="B63" i="55647"/>
  <c r="B64" i="55647"/>
  <c r="B65" i="55647"/>
  <c r="B66" i="55647"/>
  <c r="B67" i="55647"/>
  <c r="B68" i="55647"/>
  <c r="B69" i="55647"/>
  <c r="B70" i="55647"/>
  <c r="B71" i="55647"/>
  <c r="B72" i="55647"/>
  <c r="B73" i="55647"/>
  <c r="B74" i="55647"/>
  <c r="B75" i="55647"/>
  <c r="B76" i="55647"/>
  <c r="B77" i="55647"/>
  <c r="B78" i="55647"/>
  <c r="B79" i="55647"/>
  <c r="B80" i="55647"/>
  <c r="B81" i="55647"/>
  <c r="B82" i="55647"/>
  <c r="B83" i="55647"/>
  <c r="B84" i="55647"/>
  <c r="B85" i="55647"/>
  <c r="B86" i="55647"/>
  <c r="B87" i="55647"/>
  <c r="F15" i="55647"/>
  <c r="F16" i="55647"/>
  <c r="F17" i="55647"/>
  <c r="F18" i="55647"/>
  <c r="F19" i="55647"/>
  <c r="F20" i="55647"/>
  <c r="F21" i="55647"/>
  <c r="F22" i="55647"/>
  <c r="F23" i="55647"/>
  <c r="F24" i="55647"/>
  <c r="F25" i="55647"/>
  <c r="F26" i="55647"/>
  <c r="F27" i="55647"/>
  <c r="F28" i="55647"/>
  <c r="F29" i="55647"/>
  <c r="F30" i="55647"/>
  <c r="F31" i="55647"/>
  <c r="F32" i="55647"/>
  <c r="F33" i="55647"/>
  <c r="F34" i="55647"/>
  <c r="F35" i="55647"/>
  <c r="F36" i="55647"/>
  <c r="F37" i="55647"/>
  <c r="F38" i="55647"/>
  <c r="F39" i="55647"/>
  <c r="F40" i="55647"/>
  <c r="F41" i="55647"/>
  <c r="F42" i="55647"/>
  <c r="F43" i="55647"/>
  <c r="F44" i="55647"/>
  <c r="F45" i="55647"/>
  <c r="F46" i="55647"/>
  <c r="B62" i="55647"/>
  <c r="B39" i="55647"/>
  <c r="B40" i="55647"/>
  <c r="B41" i="55647"/>
  <c r="B42" i="55647"/>
  <c r="B43" i="55647"/>
  <c r="B44" i="55647"/>
  <c r="B45" i="55647"/>
  <c r="B46" i="55647"/>
  <c r="C99" i="55641" l="1"/>
  <c r="B99" i="55641"/>
  <c r="BL98" i="55641"/>
  <c r="BK98" i="55641"/>
  <c r="BJ98" i="55641"/>
  <c r="BI98" i="55641"/>
  <c r="BH98" i="55641"/>
  <c r="AN98" i="55641"/>
  <c r="AL98" i="55641" s="1"/>
  <c r="C98" i="55641"/>
  <c r="AP98" i="55641" s="1"/>
  <c r="AM98" i="55641" s="1"/>
  <c r="B98" i="55641"/>
  <c r="B97" i="55641" s="1"/>
  <c r="B96" i="55641" s="1"/>
  <c r="B95" i="55641" s="1"/>
  <c r="B94" i="55641" s="1"/>
  <c r="B93" i="55641" s="1"/>
  <c r="B92" i="55641" s="1"/>
  <c r="B91" i="55641" s="1"/>
  <c r="B90" i="55641" s="1"/>
  <c r="B89" i="55641" s="1"/>
  <c r="B88" i="55641" s="1"/>
  <c r="B87" i="55641" s="1"/>
  <c r="B86" i="55641" s="1"/>
  <c r="B85" i="55641" s="1"/>
  <c r="B84" i="55641" s="1"/>
  <c r="B83" i="55641" s="1"/>
  <c r="B82" i="55641" s="1"/>
  <c r="B81" i="55641" s="1"/>
  <c r="B80" i="55641" s="1"/>
  <c r="B79" i="55641" s="1"/>
  <c r="B78" i="55641" s="1"/>
  <c r="B77" i="55641" s="1"/>
  <c r="B76" i="55641" s="1"/>
  <c r="B75" i="55641" s="1"/>
  <c r="B74" i="55641" s="1"/>
  <c r="B73" i="55641" s="1"/>
  <c r="B72" i="55641" s="1"/>
  <c r="B71" i="55641" s="1"/>
  <c r="B70" i="55641" s="1"/>
  <c r="B69" i="55641" s="1"/>
  <c r="B68" i="55641" s="1"/>
  <c r="B67" i="55641" s="1"/>
  <c r="B66" i="55641" s="1"/>
  <c r="B65" i="55641" s="1"/>
  <c r="B64" i="55641" s="1"/>
  <c r="B63" i="55641" s="1"/>
  <c r="B62" i="55641" s="1"/>
  <c r="B61" i="55641" s="1"/>
  <c r="B60" i="55641" s="1"/>
  <c r="B59" i="55641" s="1"/>
  <c r="B58" i="55641" s="1"/>
  <c r="B57" i="55641" s="1"/>
  <c r="B56" i="55641" s="1"/>
  <c r="B55" i="55641" s="1"/>
  <c r="B54" i="55641" s="1"/>
  <c r="B53" i="55641" s="1"/>
  <c r="B52" i="55641" s="1"/>
  <c r="B51" i="55641" s="1"/>
  <c r="B50" i="55641" s="1"/>
  <c r="B49" i="55641" s="1"/>
  <c r="B48" i="55641" s="1"/>
  <c r="B47" i="55641" s="1"/>
  <c r="B46" i="55641" s="1"/>
  <c r="B45" i="55641" s="1"/>
  <c r="B44" i="55641" s="1"/>
  <c r="B43" i="55641" s="1"/>
  <c r="B42" i="55641" s="1"/>
  <c r="B41" i="55641" s="1"/>
  <c r="B40" i="55641" s="1"/>
  <c r="B39" i="55641" s="1"/>
  <c r="B38" i="55641" s="1"/>
  <c r="B37" i="55641" s="1"/>
  <c r="B36" i="55641" s="1"/>
  <c r="B35" i="55641" s="1"/>
  <c r="B34" i="55641" s="1"/>
  <c r="B33" i="55641" s="1"/>
  <c r="B32" i="55641" s="1"/>
  <c r="B31" i="55641" s="1"/>
  <c r="B30" i="55641" s="1"/>
  <c r="B29" i="55641" s="1"/>
  <c r="B28" i="55641" s="1"/>
  <c r="B27" i="55641" s="1"/>
  <c r="B26" i="55641" s="1"/>
  <c r="B25" i="55641" s="1"/>
  <c r="B24" i="55641" s="1"/>
  <c r="B23" i="55641" s="1"/>
  <c r="B22" i="55641" s="1"/>
  <c r="B21" i="55641" s="1"/>
  <c r="B20" i="55641" s="1"/>
  <c r="B19" i="55641" s="1"/>
  <c r="B18" i="55641" s="1"/>
  <c r="B17" i="55641" s="1"/>
  <c r="B16" i="55641" s="1"/>
  <c r="B15" i="55641" s="1"/>
  <c r="B14" i="55641" s="1"/>
  <c r="B13" i="55641" s="1"/>
  <c r="B12" i="55641" s="1"/>
  <c r="B11" i="55641" s="1"/>
  <c r="B10" i="55641" s="1"/>
  <c r="B9" i="55641" s="1"/>
  <c r="BL97" i="55641"/>
  <c r="BK97" i="55641"/>
  <c r="BJ97" i="55641"/>
  <c r="BI97" i="55641"/>
  <c r="BH97" i="55641"/>
  <c r="AN97" i="55641"/>
  <c r="AL97" i="55641" s="1"/>
  <c r="BL96" i="55641"/>
  <c r="BK96" i="55641"/>
  <c r="BJ96" i="55641"/>
  <c r="BI96" i="55641"/>
  <c r="BH96" i="55641"/>
  <c r="AN96" i="55641"/>
  <c r="AL96" i="55641" s="1"/>
  <c r="BL95" i="55641"/>
  <c r="BK95" i="55641"/>
  <c r="BJ95" i="55641"/>
  <c r="BI95" i="55641"/>
  <c r="BH95" i="55641"/>
  <c r="AN95" i="55641"/>
  <c r="AL95" i="55641" s="1"/>
  <c r="BL94" i="55641"/>
  <c r="BK94" i="55641"/>
  <c r="BJ94" i="55641"/>
  <c r="BI94" i="55641"/>
  <c r="BH94" i="55641"/>
  <c r="AN94" i="55641"/>
  <c r="AL94" i="55641" s="1"/>
  <c r="BL93" i="55641"/>
  <c r="BK93" i="55641"/>
  <c r="BJ93" i="55641"/>
  <c r="BI93" i="55641"/>
  <c r="BH93" i="55641"/>
  <c r="AN93" i="55641"/>
  <c r="AL93" i="55641" s="1"/>
  <c r="BL92" i="55641"/>
  <c r="BK92" i="55641"/>
  <c r="BJ92" i="55641"/>
  <c r="BI92" i="55641"/>
  <c r="BH92" i="55641"/>
  <c r="AN92" i="55641"/>
  <c r="AL92" i="55641" s="1"/>
  <c r="BL91" i="55641"/>
  <c r="BK91" i="55641"/>
  <c r="BJ91" i="55641"/>
  <c r="BI91" i="55641"/>
  <c r="BH91" i="55641"/>
  <c r="AN91" i="55641"/>
  <c r="AL91" i="55641" s="1"/>
  <c r="BL90" i="55641"/>
  <c r="BK90" i="55641"/>
  <c r="BJ90" i="55641"/>
  <c r="BI90" i="55641"/>
  <c r="BH90" i="55641"/>
  <c r="AN90" i="55641"/>
  <c r="AL90" i="55641" s="1"/>
  <c r="BL89" i="55641"/>
  <c r="BK89" i="55641"/>
  <c r="BJ89" i="55641"/>
  <c r="BI89" i="55641"/>
  <c r="BH89" i="55641"/>
  <c r="AN89" i="55641"/>
  <c r="AL89" i="55641" s="1"/>
  <c r="BL88" i="55641"/>
  <c r="BK88" i="55641"/>
  <c r="BJ88" i="55641"/>
  <c r="BI88" i="55641"/>
  <c r="BH88" i="55641"/>
  <c r="AN88" i="55641"/>
  <c r="AL88" i="55641" s="1"/>
  <c r="BL87" i="55641"/>
  <c r="BK87" i="55641"/>
  <c r="BJ87" i="55641"/>
  <c r="BI87" i="55641"/>
  <c r="BH87" i="55641"/>
  <c r="AN87" i="55641"/>
  <c r="AL87" i="55641" s="1"/>
  <c r="BL86" i="55641"/>
  <c r="BK86" i="55641"/>
  <c r="BJ86" i="55641"/>
  <c r="BI86" i="55641"/>
  <c r="BH86" i="55641"/>
  <c r="AN86" i="55641"/>
  <c r="AL86" i="55641" s="1"/>
  <c r="BL85" i="55641"/>
  <c r="BK85" i="55641"/>
  <c r="BJ85" i="55641"/>
  <c r="BI85" i="55641"/>
  <c r="BH85" i="55641"/>
  <c r="AN85" i="55641"/>
  <c r="AL85" i="55641" s="1"/>
  <c r="BL84" i="55641"/>
  <c r="BK84" i="55641"/>
  <c r="BJ84" i="55641"/>
  <c r="BI84" i="55641"/>
  <c r="BH84" i="55641"/>
  <c r="AN84" i="55641"/>
  <c r="AL84" i="55641" s="1"/>
  <c r="BL83" i="55641"/>
  <c r="BK83" i="55641"/>
  <c r="BJ83" i="55641"/>
  <c r="BI83" i="55641"/>
  <c r="BH83" i="55641"/>
  <c r="AN83" i="55641"/>
  <c r="AL83" i="55641" s="1"/>
  <c r="BL82" i="55641"/>
  <c r="BK82" i="55641"/>
  <c r="BJ82" i="55641"/>
  <c r="BI82" i="55641"/>
  <c r="BH82" i="55641"/>
  <c r="AN82" i="55641"/>
  <c r="AL82" i="55641" s="1"/>
  <c r="BL81" i="55641"/>
  <c r="BK81" i="55641"/>
  <c r="BJ81" i="55641"/>
  <c r="BI81" i="55641"/>
  <c r="BH81" i="55641"/>
  <c r="AN81" i="55641"/>
  <c r="AL81" i="55641" s="1"/>
  <c r="BL80" i="55641"/>
  <c r="BK80" i="55641"/>
  <c r="BJ80" i="55641"/>
  <c r="BI80" i="55641"/>
  <c r="BH80" i="55641"/>
  <c r="AN80" i="55641"/>
  <c r="AL80" i="55641" s="1"/>
  <c r="BL79" i="55641"/>
  <c r="BK79" i="55641"/>
  <c r="BJ79" i="55641"/>
  <c r="BI79" i="55641"/>
  <c r="BH79" i="55641"/>
  <c r="AN79" i="55641"/>
  <c r="AL79" i="55641" s="1"/>
  <c r="BL78" i="55641"/>
  <c r="BK78" i="55641"/>
  <c r="BJ78" i="55641"/>
  <c r="BI78" i="55641"/>
  <c r="BH78" i="55641"/>
  <c r="AN78" i="55641"/>
  <c r="AL78" i="55641" s="1"/>
  <c r="BL77" i="55641"/>
  <c r="BK77" i="55641"/>
  <c r="BJ77" i="55641"/>
  <c r="BI77" i="55641"/>
  <c r="BH77" i="55641"/>
  <c r="AN77" i="55641"/>
  <c r="AL77" i="55641" s="1"/>
  <c r="BL76" i="55641"/>
  <c r="BK76" i="55641"/>
  <c r="BJ76" i="55641"/>
  <c r="BI76" i="55641"/>
  <c r="BH76" i="55641"/>
  <c r="AN76" i="55641"/>
  <c r="AL76" i="55641" s="1"/>
  <c r="BL75" i="55641"/>
  <c r="BK75" i="55641"/>
  <c r="BJ75" i="55641"/>
  <c r="BI75" i="55641"/>
  <c r="BH75" i="55641"/>
  <c r="AN75" i="55641"/>
  <c r="AL75" i="55641" s="1"/>
  <c r="BL74" i="55641"/>
  <c r="BK74" i="55641"/>
  <c r="BJ74" i="55641"/>
  <c r="BI74" i="55641"/>
  <c r="BH74" i="55641"/>
  <c r="AN74" i="55641"/>
  <c r="AL74" i="55641" s="1"/>
  <c r="BL73" i="55641"/>
  <c r="BK73" i="55641"/>
  <c r="BJ73" i="55641"/>
  <c r="BI73" i="55641"/>
  <c r="BH73" i="55641"/>
  <c r="AN73" i="55641"/>
  <c r="AL73" i="55641" s="1"/>
  <c r="BL72" i="55641"/>
  <c r="BK72" i="55641"/>
  <c r="BJ72" i="55641"/>
  <c r="BI72" i="55641"/>
  <c r="BH72" i="55641"/>
  <c r="AN72" i="55641"/>
  <c r="AL72" i="55641" s="1"/>
  <c r="BL71" i="55641"/>
  <c r="BK71" i="55641"/>
  <c r="BJ71" i="55641"/>
  <c r="BI71" i="55641"/>
  <c r="BH71" i="55641"/>
  <c r="BM71" i="55641" s="1"/>
  <c r="AN71" i="55641"/>
  <c r="AL71" i="55641" s="1"/>
  <c r="BL70" i="55641"/>
  <c r="BK70" i="55641"/>
  <c r="BJ70" i="55641"/>
  <c r="BI70" i="55641"/>
  <c r="BH70" i="55641"/>
  <c r="AN70" i="55641"/>
  <c r="AL70" i="55641" s="1"/>
  <c r="BL69" i="55641"/>
  <c r="BK69" i="55641"/>
  <c r="BJ69" i="55641"/>
  <c r="BI69" i="55641"/>
  <c r="BH69" i="55641"/>
  <c r="AN69" i="55641"/>
  <c r="AL69" i="55641" s="1"/>
  <c r="BL68" i="55641"/>
  <c r="BK68" i="55641"/>
  <c r="BJ68" i="55641"/>
  <c r="BI68" i="55641"/>
  <c r="BH68" i="55641"/>
  <c r="AN68" i="55641"/>
  <c r="AL68" i="55641" s="1"/>
  <c r="BL67" i="55641"/>
  <c r="BK67" i="55641"/>
  <c r="BJ67" i="55641"/>
  <c r="BI67" i="55641"/>
  <c r="BH67" i="55641"/>
  <c r="AN67" i="55641"/>
  <c r="AL67" i="55641" s="1"/>
  <c r="BL66" i="55641"/>
  <c r="BK66" i="55641"/>
  <c r="BJ66" i="55641"/>
  <c r="BI66" i="55641"/>
  <c r="BH66" i="55641"/>
  <c r="AN66" i="55641"/>
  <c r="AL66" i="55641" s="1"/>
  <c r="BL65" i="55641"/>
  <c r="BK65" i="55641"/>
  <c r="BJ65" i="55641"/>
  <c r="BI65" i="55641"/>
  <c r="BH65" i="55641"/>
  <c r="AN65" i="55641"/>
  <c r="AL65" i="55641" s="1"/>
  <c r="BL64" i="55641"/>
  <c r="BK64" i="55641"/>
  <c r="BJ64" i="55641"/>
  <c r="BI64" i="55641"/>
  <c r="BH64" i="55641"/>
  <c r="AN64" i="55641"/>
  <c r="AL64" i="55641" s="1"/>
  <c r="BL63" i="55641"/>
  <c r="BK63" i="55641"/>
  <c r="BJ63" i="55641"/>
  <c r="BI63" i="55641"/>
  <c r="BH63" i="55641"/>
  <c r="AN63" i="55641"/>
  <c r="AL63" i="55641" s="1"/>
  <c r="BL62" i="55641"/>
  <c r="BK62" i="55641"/>
  <c r="BJ62" i="55641"/>
  <c r="BI62" i="55641"/>
  <c r="BH62" i="55641"/>
  <c r="AN62" i="55641"/>
  <c r="AL62" i="55641" s="1"/>
  <c r="BL61" i="55641"/>
  <c r="BK61" i="55641"/>
  <c r="BJ61" i="55641"/>
  <c r="BI61" i="55641"/>
  <c r="BH61" i="55641"/>
  <c r="AN61" i="55641"/>
  <c r="AL61" i="55641" s="1"/>
  <c r="BL60" i="55641"/>
  <c r="BK60" i="55641"/>
  <c r="BJ60" i="55641"/>
  <c r="BI60" i="55641"/>
  <c r="BH60" i="55641"/>
  <c r="AN60" i="55641"/>
  <c r="AL60" i="55641" s="1"/>
  <c r="BL59" i="55641"/>
  <c r="BK59" i="55641"/>
  <c r="BJ59" i="55641"/>
  <c r="BI59" i="55641"/>
  <c r="BH59" i="55641"/>
  <c r="AN59" i="55641"/>
  <c r="AL59" i="55641" s="1"/>
  <c r="BL58" i="55641"/>
  <c r="BK58" i="55641"/>
  <c r="BJ58" i="55641"/>
  <c r="BI58" i="55641"/>
  <c r="BH58" i="55641"/>
  <c r="AN58" i="55641"/>
  <c r="AL58" i="55641" s="1"/>
  <c r="BL57" i="55641"/>
  <c r="BK57" i="55641"/>
  <c r="BJ57" i="55641"/>
  <c r="BI57" i="55641"/>
  <c r="BH57" i="55641"/>
  <c r="AN57" i="55641"/>
  <c r="AL57" i="55641" s="1"/>
  <c r="BL56" i="55641"/>
  <c r="BK56" i="55641"/>
  <c r="BJ56" i="55641"/>
  <c r="BI56" i="55641"/>
  <c r="BH56" i="55641"/>
  <c r="BM56" i="55641" s="1"/>
  <c r="AN56" i="55641"/>
  <c r="AL56" i="55641" s="1"/>
  <c r="BL55" i="55641"/>
  <c r="BK55" i="55641"/>
  <c r="BJ55" i="55641"/>
  <c r="BI55" i="55641"/>
  <c r="BH55" i="55641"/>
  <c r="AN55" i="55641"/>
  <c r="AL55" i="55641" s="1"/>
  <c r="BL54" i="55641"/>
  <c r="BK54" i="55641"/>
  <c r="BJ54" i="55641"/>
  <c r="BI54" i="55641"/>
  <c r="BH54" i="55641"/>
  <c r="AN54" i="55641"/>
  <c r="AL54" i="55641" s="1"/>
  <c r="BL53" i="55641"/>
  <c r="BM53" i="55641" s="1"/>
  <c r="BK53" i="55641"/>
  <c r="BJ53" i="55641"/>
  <c r="BI53" i="55641"/>
  <c r="BH53" i="55641"/>
  <c r="AN53" i="55641"/>
  <c r="AL53" i="55641" s="1"/>
  <c r="BL52" i="55641"/>
  <c r="BK52" i="55641"/>
  <c r="BJ52" i="55641"/>
  <c r="BI52" i="55641"/>
  <c r="BH52" i="55641"/>
  <c r="AN52" i="55641"/>
  <c r="AL52" i="55641" s="1"/>
  <c r="BL51" i="55641"/>
  <c r="BK51" i="55641"/>
  <c r="BJ51" i="55641"/>
  <c r="BI51" i="55641"/>
  <c r="BH51" i="55641"/>
  <c r="AN51" i="55641"/>
  <c r="AL51" i="55641" s="1"/>
  <c r="BL50" i="55641"/>
  <c r="BK50" i="55641"/>
  <c r="BJ50" i="55641"/>
  <c r="BI50" i="55641"/>
  <c r="BH50" i="55641"/>
  <c r="AN50" i="55641"/>
  <c r="AL50" i="55641" s="1"/>
  <c r="BM49" i="55641"/>
  <c r="BL49" i="55641"/>
  <c r="BK49" i="55641"/>
  <c r="BJ49" i="55641"/>
  <c r="BI49" i="55641"/>
  <c r="BH49" i="55641"/>
  <c r="AN49" i="55641"/>
  <c r="AL49" i="55641" s="1"/>
  <c r="BM48" i="55641"/>
  <c r="BL48" i="55641"/>
  <c r="BK48" i="55641"/>
  <c r="BJ48" i="55641"/>
  <c r="BI48" i="55641"/>
  <c r="BH48" i="55641"/>
  <c r="AN48" i="55641"/>
  <c r="AL48" i="55641" s="1"/>
  <c r="BL47" i="55641"/>
  <c r="BK47" i="55641"/>
  <c r="BM47" i="55641" s="1"/>
  <c r="BJ47" i="55641"/>
  <c r="BI47" i="55641"/>
  <c r="BH47" i="55641"/>
  <c r="AN47" i="55641"/>
  <c r="AL47" i="55641" s="1"/>
  <c r="BL46" i="55641"/>
  <c r="BK46" i="55641"/>
  <c r="BJ46" i="55641"/>
  <c r="BI46" i="55641"/>
  <c r="BH46" i="55641"/>
  <c r="AN46" i="55641"/>
  <c r="AL46" i="55641" s="1"/>
  <c r="BL45" i="55641"/>
  <c r="BK45" i="55641"/>
  <c r="BJ45" i="55641"/>
  <c r="BI45" i="55641"/>
  <c r="BM45" i="55641" s="1"/>
  <c r="BH45" i="55641"/>
  <c r="AN45" i="55641"/>
  <c r="AL45" i="55641" s="1"/>
  <c r="BL44" i="55641"/>
  <c r="BK44" i="55641"/>
  <c r="BJ44" i="55641"/>
  <c r="BI44" i="55641"/>
  <c r="BH44" i="55641"/>
  <c r="BM44" i="55641" s="1"/>
  <c r="AN44" i="55641"/>
  <c r="AL44" i="55641" s="1"/>
  <c r="BL43" i="55641"/>
  <c r="BK43" i="55641"/>
  <c r="BJ43" i="55641"/>
  <c r="BI43" i="55641"/>
  <c r="BH43" i="55641"/>
  <c r="AN43" i="55641"/>
  <c r="AL43" i="55641" s="1"/>
  <c r="BL42" i="55641"/>
  <c r="BK42" i="55641"/>
  <c r="BJ42" i="55641"/>
  <c r="BI42" i="55641"/>
  <c r="BH42" i="55641"/>
  <c r="BM42" i="55641" s="1"/>
  <c r="AN42" i="55641"/>
  <c r="AL42" i="55641" s="1"/>
  <c r="BL41" i="55641"/>
  <c r="BK41" i="55641"/>
  <c r="BJ41" i="55641"/>
  <c r="BI41" i="55641"/>
  <c r="BH41" i="55641"/>
  <c r="AN41" i="55641"/>
  <c r="AL41" i="55641" s="1"/>
  <c r="BL40" i="55641"/>
  <c r="BK40" i="55641"/>
  <c r="BJ40" i="55641"/>
  <c r="BI40" i="55641"/>
  <c r="BH40" i="55641"/>
  <c r="AN40" i="55641"/>
  <c r="AL40" i="55641" s="1"/>
  <c r="BL39" i="55641"/>
  <c r="BK39" i="55641"/>
  <c r="BJ39" i="55641"/>
  <c r="BI39" i="55641"/>
  <c r="BM39" i="55641" s="1"/>
  <c r="BH39" i="55641"/>
  <c r="AN39" i="55641"/>
  <c r="AL39" i="55641" s="1"/>
  <c r="BL38" i="55641"/>
  <c r="BK38" i="55641"/>
  <c r="BJ38" i="55641"/>
  <c r="BI38" i="55641"/>
  <c r="BH38" i="55641"/>
  <c r="AN38" i="55641"/>
  <c r="AL38" i="55641" s="1"/>
  <c r="BL37" i="55641"/>
  <c r="BK37" i="55641"/>
  <c r="BJ37" i="55641"/>
  <c r="BI37" i="55641"/>
  <c r="BH37" i="55641"/>
  <c r="BM37" i="55641" s="1"/>
  <c r="AN37" i="55641"/>
  <c r="AL37" i="55641" s="1"/>
  <c r="BL36" i="55641"/>
  <c r="BK36" i="55641"/>
  <c r="BJ36" i="55641"/>
  <c r="BI36" i="55641"/>
  <c r="BH36" i="55641"/>
  <c r="AN36" i="55641"/>
  <c r="AL36" i="55641" s="1"/>
  <c r="BL35" i="55641"/>
  <c r="BK35" i="55641"/>
  <c r="BJ35" i="55641"/>
  <c r="BI35" i="55641"/>
  <c r="BH35" i="55641"/>
  <c r="AN35" i="55641"/>
  <c r="AL35" i="55641" s="1"/>
  <c r="BL34" i="55641"/>
  <c r="BK34" i="55641"/>
  <c r="BJ34" i="55641"/>
  <c r="BI34" i="55641"/>
  <c r="BH34" i="55641"/>
  <c r="AN34" i="55641"/>
  <c r="AL34" i="55641" s="1"/>
  <c r="BL33" i="55641"/>
  <c r="BK33" i="55641"/>
  <c r="BJ33" i="55641"/>
  <c r="BI33" i="55641"/>
  <c r="BH33" i="55641"/>
  <c r="BM33" i="55641" s="1"/>
  <c r="AN33" i="55641"/>
  <c r="AL33" i="55641" s="1"/>
  <c r="BL32" i="55641"/>
  <c r="BK32" i="55641"/>
  <c r="BJ32" i="55641"/>
  <c r="BI32" i="55641"/>
  <c r="BH32" i="55641"/>
  <c r="BM32" i="55641" s="1"/>
  <c r="AN32" i="55641"/>
  <c r="AL32" i="55641" s="1"/>
  <c r="BL31" i="55641"/>
  <c r="BK31" i="55641"/>
  <c r="BJ31" i="55641"/>
  <c r="BI31" i="55641"/>
  <c r="BH31" i="55641"/>
  <c r="AN31" i="55641"/>
  <c r="AL31" i="55641" s="1"/>
  <c r="BL30" i="55641"/>
  <c r="BK30" i="55641"/>
  <c r="BJ30" i="55641"/>
  <c r="BI30" i="55641"/>
  <c r="BH30" i="55641"/>
  <c r="BM30" i="55641" s="1"/>
  <c r="AN30" i="55641"/>
  <c r="AL30" i="55641" s="1"/>
  <c r="BL29" i="55641"/>
  <c r="BK29" i="55641"/>
  <c r="BJ29" i="55641"/>
  <c r="BI29" i="55641"/>
  <c r="BH29" i="55641"/>
  <c r="AN29" i="55641"/>
  <c r="AL29" i="55641" s="1"/>
  <c r="BL28" i="55641"/>
  <c r="BK28" i="55641"/>
  <c r="BM28" i="55641" s="1"/>
  <c r="BJ28" i="55641"/>
  <c r="BI28" i="55641"/>
  <c r="BH28" i="55641"/>
  <c r="AN28" i="55641"/>
  <c r="AL28" i="55641" s="1"/>
  <c r="BL27" i="55641"/>
  <c r="BK27" i="55641"/>
  <c r="BJ27" i="55641"/>
  <c r="BI27" i="55641"/>
  <c r="BH27" i="55641"/>
  <c r="AN27" i="55641"/>
  <c r="AL27" i="55641" s="1"/>
  <c r="BL26" i="55641"/>
  <c r="BK26" i="55641"/>
  <c r="BJ26" i="55641"/>
  <c r="BI26" i="55641"/>
  <c r="BH26" i="55641"/>
  <c r="AN26" i="55641"/>
  <c r="AL26" i="55641" s="1"/>
  <c r="BL25" i="55641"/>
  <c r="BK25" i="55641"/>
  <c r="BJ25" i="55641"/>
  <c r="BI25" i="55641"/>
  <c r="BH25" i="55641"/>
  <c r="BM25" i="55641" s="1"/>
  <c r="AN25" i="55641"/>
  <c r="AL25" i="55641" s="1"/>
  <c r="BL24" i="55641"/>
  <c r="BK24" i="55641"/>
  <c r="BJ24" i="55641"/>
  <c r="BI24" i="55641"/>
  <c r="BH24" i="55641"/>
  <c r="AN24" i="55641"/>
  <c r="AL24" i="55641" s="1"/>
  <c r="BM23" i="55641"/>
  <c r="BL23" i="55641"/>
  <c r="BK23" i="55641"/>
  <c r="BJ23" i="55641"/>
  <c r="BI23" i="55641"/>
  <c r="BH23" i="55641"/>
  <c r="AN23" i="55641"/>
  <c r="AL23" i="55641" s="1"/>
  <c r="BL22" i="55641"/>
  <c r="BK22" i="55641"/>
  <c r="BJ22" i="55641"/>
  <c r="BI22" i="55641"/>
  <c r="BH22" i="55641"/>
  <c r="AN22" i="55641"/>
  <c r="AL22" i="55641" s="1"/>
  <c r="BL21" i="55641"/>
  <c r="BK21" i="55641"/>
  <c r="BJ21" i="55641"/>
  <c r="BM21" i="55641" s="1"/>
  <c r="BI21" i="55641"/>
  <c r="BH21" i="55641"/>
  <c r="AN21" i="55641"/>
  <c r="AL21" i="55641" s="1"/>
  <c r="BL20" i="55641"/>
  <c r="BK20" i="55641"/>
  <c r="BJ20" i="55641"/>
  <c r="BI20" i="55641"/>
  <c r="BH20" i="55641"/>
  <c r="AN20" i="55641"/>
  <c r="AL20" i="55641" s="1"/>
  <c r="BL19" i="55641"/>
  <c r="BK19" i="55641"/>
  <c r="BJ19" i="55641"/>
  <c r="BI19" i="55641"/>
  <c r="BH19" i="55641"/>
  <c r="AN19" i="55641"/>
  <c r="AL19" i="55641" s="1"/>
  <c r="BL18" i="55641"/>
  <c r="BK18" i="55641"/>
  <c r="BJ18" i="55641"/>
  <c r="BI18" i="55641"/>
  <c r="BH18" i="55641"/>
  <c r="BM18" i="55641" s="1"/>
  <c r="AN18" i="55641"/>
  <c r="AL18" i="55641" s="1"/>
  <c r="BL17" i="55641"/>
  <c r="BK17" i="55641"/>
  <c r="BJ17" i="55641"/>
  <c r="BI17" i="55641"/>
  <c r="BH17" i="55641"/>
  <c r="AN17" i="55641"/>
  <c r="AL17" i="55641" s="1"/>
  <c r="BM16" i="55641"/>
  <c r="BL16" i="55641"/>
  <c r="BK16" i="55641"/>
  <c r="BJ16" i="55641"/>
  <c r="BI16" i="55641"/>
  <c r="BH16" i="55641"/>
  <c r="AN16" i="55641"/>
  <c r="AL16" i="55641" s="1"/>
  <c r="BL15" i="55641"/>
  <c r="BK15" i="55641"/>
  <c r="BJ15" i="55641"/>
  <c r="BI15" i="55641"/>
  <c r="BH15" i="55641"/>
  <c r="AN15" i="55641"/>
  <c r="AL15" i="55641" s="1"/>
  <c r="BL14" i="55641"/>
  <c r="BK14" i="55641"/>
  <c r="BJ14" i="55641"/>
  <c r="BI14" i="55641"/>
  <c r="BH14" i="55641"/>
  <c r="AN14" i="55641"/>
  <c r="AL14" i="55641" s="1"/>
  <c r="BL13" i="55641"/>
  <c r="BK13" i="55641"/>
  <c r="BJ13" i="55641"/>
  <c r="BI13" i="55641"/>
  <c r="BH13" i="55641"/>
  <c r="AN13" i="55641"/>
  <c r="AL13" i="55641" s="1"/>
  <c r="BL12" i="55641"/>
  <c r="BK12" i="55641"/>
  <c r="BM12" i="55641" s="1"/>
  <c r="BJ12" i="55641"/>
  <c r="BI12" i="55641"/>
  <c r="BH12" i="55641"/>
  <c r="AN12" i="55641"/>
  <c r="AL12" i="55641" s="1"/>
  <c r="BL11" i="55641"/>
  <c r="BK11" i="55641"/>
  <c r="BJ11" i="55641"/>
  <c r="BI11" i="55641"/>
  <c r="BH11" i="55641"/>
  <c r="AN11" i="55641"/>
  <c r="AL11" i="55641" s="1"/>
  <c r="BL10" i="55641"/>
  <c r="BK10" i="55641"/>
  <c r="BJ10" i="55641"/>
  <c r="BI10" i="55641"/>
  <c r="BH10" i="55641"/>
  <c r="AN10" i="55641"/>
  <c r="AL10" i="55641" s="1"/>
  <c r="BL9" i="55641"/>
  <c r="BK9" i="55641"/>
  <c r="BJ9" i="55641"/>
  <c r="BI9" i="55641"/>
  <c r="BH9" i="55641"/>
  <c r="BE9" i="55641"/>
  <c r="BE10" i="55641" s="1"/>
  <c r="BE11" i="55641" s="1"/>
  <c r="BE12" i="55641" s="1"/>
  <c r="BE13" i="55641" s="1"/>
  <c r="BE14" i="55641" s="1"/>
  <c r="BE15" i="55641" s="1"/>
  <c r="BE16" i="55641" s="1"/>
  <c r="BE17" i="55641" s="1"/>
  <c r="BE18" i="55641" s="1"/>
  <c r="BE19" i="55641" s="1"/>
  <c r="BE20" i="55641" s="1"/>
  <c r="BE21" i="55641" s="1"/>
  <c r="BE22" i="55641" s="1"/>
  <c r="BE23" i="55641" s="1"/>
  <c r="BE24" i="55641" s="1"/>
  <c r="BE25" i="55641" s="1"/>
  <c r="BE26" i="55641" s="1"/>
  <c r="BE27" i="55641" s="1"/>
  <c r="BE28" i="55641" s="1"/>
  <c r="BE29" i="55641" s="1"/>
  <c r="BE30" i="55641" s="1"/>
  <c r="BE31" i="55641" s="1"/>
  <c r="BE32" i="55641" s="1"/>
  <c r="BE33" i="55641" s="1"/>
  <c r="BE34" i="55641" s="1"/>
  <c r="BE35" i="55641" s="1"/>
  <c r="BE36" i="55641" s="1"/>
  <c r="BE37" i="55641" s="1"/>
  <c r="BE38" i="55641" s="1"/>
  <c r="BE39" i="55641" s="1"/>
  <c r="BE40" i="55641" s="1"/>
  <c r="BE41" i="55641" s="1"/>
  <c r="BE42" i="55641" s="1"/>
  <c r="BE43" i="55641" s="1"/>
  <c r="BE44" i="55641" s="1"/>
  <c r="BE45" i="55641" s="1"/>
  <c r="BE46" i="55641" s="1"/>
  <c r="BE47" i="55641" s="1"/>
  <c r="BE48" i="55641" s="1"/>
  <c r="BE49" i="55641" s="1"/>
  <c r="BE50" i="55641" s="1"/>
  <c r="BE51" i="55641" s="1"/>
  <c r="BE52" i="55641" s="1"/>
  <c r="BE53" i="55641" s="1"/>
  <c r="BE54" i="55641" s="1"/>
  <c r="BE55" i="55641" s="1"/>
  <c r="BE56" i="55641" s="1"/>
  <c r="BE57" i="55641" s="1"/>
  <c r="BE58" i="55641" s="1"/>
  <c r="BE59" i="55641" s="1"/>
  <c r="BE60" i="55641" s="1"/>
  <c r="BE61" i="55641" s="1"/>
  <c r="BE62" i="55641" s="1"/>
  <c r="BE63" i="55641" s="1"/>
  <c r="BE64" i="55641" s="1"/>
  <c r="BE65" i="55641" s="1"/>
  <c r="BE66" i="55641" s="1"/>
  <c r="BE67" i="55641" s="1"/>
  <c r="BE68" i="55641" s="1"/>
  <c r="BE69" i="55641" s="1"/>
  <c r="BE70" i="55641" s="1"/>
  <c r="BE71" i="55641" s="1"/>
  <c r="BE72" i="55641" s="1"/>
  <c r="BE73" i="55641" s="1"/>
  <c r="BE74" i="55641" s="1"/>
  <c r="BE75" i="55641" s="1"/>
  <c r="BE76" i="55641" s="1"/>
  <c r="BE77" i="55641" s="1"/>
  <c r="BE78" i="55641" s="1"/>
  <c r="BE79" i="55641" s="1"/>
  <c r="BE80" i="55641" s="1"/>
  <c r="BE81" i="55641" s="1"/>
  <c r="BE82" i="55641" s="1"/>
  <c r="BE83" i="55641" s="1"/>
  <c r="BE84" i="55641" s="1"/>
  <c r="BE85" i="55641" s="1"/>
  <c r="BE86" i="55641" s="1"/>
  <c r="BE87" i="55641" s="1"/>
  <c r="BE88" i="55641" s="1"/>
  <c r="BE89" i="55641" s="1"/>
  <c r="BE90" i="55641" s="1"/>
  <c r="BE91" i="55641" s="1"/>
  <c r="BE92" i="55641" s="1"/>
  <c r="BE93" i="55641" s="1"/>
  <c r="BE94" i="55641" s="1"/>
  <c r="BE95" i="55641" s="1"/>
  <c r="BE96" i="55641" s="1"/>
  <c r="BE97" i="55641" s="1"/>
  <c r="BE98" i="55641" s="1"/>
  <c r="BD9" i="55641"/>
  <c r="BD10" i="55641" s="1"/>
  <c r="BD11" i="55641" s="1"/>
  <c r="BD12" i="55641" s="1"/>
  <c r="BD13" i="55641" s="1"/>
  <c r="BD14" i="55641" s="1"/>
  <c r="BD15" i="55641" s="1"/>
  <c r="BD16" i="55641" s="1"/>
  <c r="BD17" i="55641" s="1"/>
  <c r="BD18" i="55641" s="1"/>
  <c r="BD19" i="55641" s="1"/>
  <c r="BD20" i="55641" s="1"/>
  <c r="BD21" i="55641" s="1"/>
  <c r="BD22" i="55641" s="1"/>
  <c r="BD23" i="55641" s="1"/>
  <c r="BD24" i="55641" s="1"/>
  <c r="BD25" i="55641" s="1"/>
  <c r="BD26" i="55641" s="1"/>
  <c r="BD27" i="55641" s="1"/>
  <c r="BD28" i="55641" s="1"/>
  <c r="BD29" i="55641" s="1"/>
  <c r="BD30" i="55641" s="1"/>
  <c r="BD31" i="55641" s="1"/>
  <c r="BD32" i="55641" s="1"/>
  <c r="BD33" i="55641" s="1"/>
  <c r="BD34" i="55641" s="1"/>
  <c r="BD35" i="55641" s="1"/>
  <c r="BD36" i="55641" s="1"/>
  <c r="BD37" i="55641" s="1"/>
  <c r="BD38" i="55641" s="1"/>
  <c r="BD39" i="55641" s="1"/>
  <c r="BD40" i="55641" s="1"/>
  <c r="BD41" i="55641" s="1"/>
  <c r="BD42" i="55641" s="1"/>
  <c r="BD43" i="55641" s="1"/>
  <c r="BD44" i="55641" s="1"/>
  <c r="BD45" i="55641" s="1"/>
  <c r="BD46" i="55641" s="1"/>
  <c r="BD47" i="55641" s="1"/>
  <c r="BD48" i="55641" s="1"/>
  <c r="BD49" i="55641" s="1"/>
  <c r="BD50" i="55641" s="1"/>
  <c r="BD51" i="55641" s="1"/>
  <c r="BD52" i="55641" s="1"/>
  <c r="BD53" i="55641" s="1"/>
  <c r="BD54" i="55641" s="1"/>
  <c r="BD55" i="55641" s="1"/>
  <c r="BD56" i="55641" s="1"/>
  <c r="BD57" i="55641" s="1"/>
  <c r="BD58" i="55641" s="1"/>
  <c r="BD59" i="55641" s="1"/>
  <c r="BD60" i="55641" s="1"/>
  <c r="BD61" i="55641" s="1"/>
  <c r="BD62" i="55641" s="1"/>
  <c r="BD63" i="55641" s="1"/>
  <c r="BD64" i="55641" s="1"/>
  <c r="BD65" i="55641" s="1"/>
  <c r="BD66" i="55641" s="1"/>
  <c r="BD67" i="55641" s="1"/>
  <c r="BD68" i="55641" s="1"/>
  <c r="BD69" i="55641" s="1"/>
  <c r="BD70" i="55641" s="1"/>
  <c r="BD71" i="55641" s="1"/>
  <c r="BD72" i="55641" s="1"/>
  <c r="BD73" i="55641" s="1"/>
  <c r="BD74" i="55641" s="1"/>
  <c r="BD75" i="55641" s="1"/>
  <c r="BD76" i="55641" s="1"/>
  <c r="BD77" i="55641" s="1"/>
  <c r="BD78" i="55641" s="1"/>
  <c r="BD79" i="55641" s="1"/>
  <c r="BD80" i="55641" s="1"/>
  <c r="BD81" i="55641" s="1"/>
  <c r="BD82" i="55641" s="1"/>
  <c r="BD83" i="55641" s="1"/>
  <c r="BD84" i="55641" s="1"/>
  <c r="BD85" i="55641" s="1"/>
  <c r="BD86" i="55641" s="1"/>
  <c r="BD87" i="55641" s="1"/>
  <c r="BD88" i="55641" s="1"/>
  <c r="BD89" i="55641" s="1"/>
  <c r="BD90" i="55641" s="1"/>
  <c r="BD91" i="55641" s="1"/>
  <c r="BD92" i="55641" s="1"/>
  <c r="BD93" i="55641" s="1"/>
  <c r="BD94" i="55641" s="1"/>
  <c r="BD95" i="55641" s="1"/>
  <c r="BD96" i="55641" s="1"/>
  <c r="BD97" i="55641" s="1"/>
  <c r="BD98" i="55641" s="1"/>
  <c r="BC9" i="55641"/>
  <c r="BC10" i="55641" s="1"/>
  <c r="BC11" i="55641" s="1"/>
  <c r="BC12" i="55641" s="1"/>
  <c r="BC13" i="55641" s="1"/>
  <c r="BC14" i="55641" s="1"/>
  <c r="BC15" i="55641" s="1"/>
  <c r="BC16" i="55641" s="1"/>
  <c r="BC17" i="55641" s="1"/>
  <c r="BC18" i="55641" s="1"/>
  <c r="BC19" i="55641" s="1"/>
  <c r="BC20" i="55641" s="1"/>
  <c r="BC21" i="55641" s="1"/>
  <c r="BC22" i="55641" s="1"/>
  <c r="BC23" i="55641" s="1"/>
  <c r="BC24" i="55641" s="1"/>
  <c r="BC25" i="55641" s="1"/>
  <c r="BC26" i="55641" s="1"/>
  <c r="BC27" i="55641" s="1"/>
  <c r="BC28" i="55641" s="1"/>
  <c r="BC29" i="55641" s="1"/>
  <c r="BC30" i="55641" s="1"/>
  <c r="BC31" i="55641" s="1"/>
  <c r="BC32" i="55641" s="1"/>
  <c r="BC33" i="55641" s="1"/>
  <c r="BC34" i="55641" s="1"/>
  <c r="BC35" i="55641" s="1"/>
  <c r="BC36" i="55641" s="1"/>
  <c r="BC37" i="55641" s="1"/>
  <c r="BC38" i="55641" s="1"/>
  <c r="BC39" i="55641" s="1"/>
  <c r="BC40" i="55641" s="1"/>
  <c r="BC41" i="55641" s="1"/>
  <c r="BC42" i="55641" s="1"/>
  <c r="BC43" i="55641" s="1"/>
  <c r="BC44" i="55641" s="1"/>
  <c r="BC45" i="55641" s="1"/>
  <c r="BC46" i="55641" s="1"/>
  <c r="BC47" i="55641" s="1"/>
  <c r="BC48" i="55641" s="1"/>
  <c r="BC49" i="55641" s="1"/>
  <c r="BC50" i="55641" s="1"/>
  <c r="BC51" i="55641" s="1"/>
  <c r="BC52" i="55641" s="1"/>
  <c r="BC53" i="55641" s="1"/>
  <c r="BC54" i="55641" s="1"/>
  <c r="BC55" i="55641" s="1"/>
  <c r="BC56" i="55641" s="1"/>
  <c r="BC57" i="55641" s="1"/>
  <c r="BC58" i="55641" s="1"/>
  <c r="BC59" i="55641" s="1"/>
  <c r="BC60" i="55641" s="1"/>
  <c r="BC61" i="55641" s="1"/>
  <c r="BC62" i="55641" s="1"/>
  <c r="BC63" i="55641" s="1"/>
  <c r="BC64" i="55641" s="1"/>
  <c r="BC65" i="55641" s="1"/>
  <c r="BC66" i="55641" s="1"/>
  <c r="BC67" i="55641" s="1"/>
  <c r="BC68" i="55641" s="1"/>
  <c r="BC69" i="55641" s="1"/>
  <c r="BC70" i="55641" s="1"/>
  <c r="BC71" i="55641" s="1"/>
  <c r="BC72" i="55641" s="1"/>
  <c r="BC73" i="55641" s="1"/>
  <c r="BC74" i="55641" s="1"/>
  <c r="BC75" i="55641" s="1"/>
  <c r="BC76" i="55641" s="1"/>
  <c r="BC77" i="55641" s="1"/>
  <c r="BC78" i="55641" s="1"/>
  <c r="BC79" i="55641" s="1"/>
  <c r="BC80" i="55641" s="1"/>
  <c r="BC81" i="55641" s="1"/>
  <c r="BC82" i="55641" s="1"/>
  <c r="BC83" i="55641" s="1"/>
  <c r="BC84" i="55641" s="1"/>
  <c r="BC85" i="55641" s="1"/>
  <c r="BC86" i="55641" s="1"/>
  <c r="BC87" i="55641" s="1"/>
  <c r="BC88" i="55641" s="1"/>
  <c r="BC89" i="55641" s="1"/>
  <c r="BC90" i="55641" s="1"/>
  <c r="BC91" i="55641" s="1"/>
  <c r="BC92" i="55641" s="1"/>
  <c r="BC93" i="55641" s="1"/>
  <c r="BC94" i="55641" s="1"/>
  <c r="BC95" i="55641" s="1"/>
  <c r="BC96" i="55641" s="1"/>
  <c r="BC97" i="55641" s="1"/>
  <c r="BC98" i="55641" s="1"/>
  <c r="BB9" i="55641"/>
  <c r="BB10" i="55641" s="1"/>
  <c r="BB11" i="55641" s="1"/>
  <c r="BB12" i="55641" s="1"/>
  <c r="BB13" i="55641" s="1"/>
  <c r="BB14" i="55641" s="1"/>
  <c r="BB15" i="55641" s="1"/>
  <c r="BB16" i="55641" s="1"/>
  <c r="BB17" i="55641" s="1"/>
  <c r="BB18" i="55641" s="1"/>
  <c r="BB19" i="55641" s="1"/>
  <c r="BB20" i="55641" s="1"/>
  <c r="BB21" i="55641" s="1"/>
  <c r="BB22" i="55641" s="1"/>
  <c r="BB23" i="55641" s="1"/>
  <c r="BB24" i="55641" s="1"/>
  <c r="BB25" i="55641" s="1"/>
  <c r="BB26" i="55641" s="1"/>
  <c r="BB27" i="55641" s="1"/>
  <c r="BB28" i="55641" s="1"/>
  <c r="BB29" i="55641" s="1"/>
  <c r="BB30" i="55641" s="1"/>
  <c r="BB31" i="55641" s="1"/>
  <c r="BB32" i="55641" s="1"/>
  <c r="BB33" i="55641" s="1"/>
  <c r="BB34" i="55641" s="1"/>
  <c r="BB35" i="55641" s="1"/>
  <c r="BB36" i="55641" s="1"/>
  <c r="BB37" i="55641" s="1"/>
  <c r="BB38" i="55641" s="1"/>
  <c r="BB39" i="55641" s="1"/>
  <c r="BB40" i="55641" s="1"/>
  <c r="BB41" i="55641" s="1"/>
  <c r="BB42" i="55641" s="1"/>
  <c r="BB43" i="55641" s="1"/>
  <c r="BB44" i="55641" s="1"/>
  <c r="BB45" i="55641" s="1"/>
  <c r="BB46" i="55641" s="1"/>
  <c r="BB47" i="55641" s="1"/>
  <c r="BB48" i="55641" s="1"/>
  <c r="BB49" i="55641" s="1"/>
  <c r="BB50" i="55641" s="1"/>
  <c r="BB51" i="55641" s="1"/>
  <c r="BB52" i="55641" s="1"/>
  <c r="BB53" i="55641" s="1"/>
  <c r="BB54" i="55641" s="1"/>
  <c r="BB55" i="55641" s="1"/>
  <c r="BB56" i="55641" s="1"/>
  <c r="BB57" i="55641" s="1"/>
  <c r="BB58" i="55641" s="1"/>
  <c r="BB59" i="55641" s="1"/>
  <c r="BB60" i="55641" s="1"/>
  <c r="BB61" i="55641" s="1"/>
  <c r="BB62" i="55641" s="1"/>
  <c r="BB63" i="55641" s="1"/>
  <c r="BB64" i="55641" s="1"/>
  <c r="BB65" i="55641" s="1"/>
  <c r="BB66" i="55641" s="1"/>
  <c r="BB67" i="55641" s="1"/>
  <c r="BB68" i="55641" s="1"/>
  <c r="BB69" i="55641" s="1"/>
  <c r="BB70" i="55641" s="1"/>
  <c r="BB71" i="55641" s="1"/>
  <c r="BB72" i="55641" s="1"/>
  <c r="BB73" i="55641" s="1"/>
  <c r="BB74" i="55641" s="1"/>
  <c r="BB75" i="55641" s="1"/>
  <c r="BB76" i="55641" s="1"/>
  <c r="BB77" i="55641" s="1"/>
  <c r="BB78" i="55641" s="1"/>
  <c r="BB79" i="55641" s="1"/>
  <c r="BB80" i="55641" s="1"/>
  <c r="BB81" i="55641" s="1"/>
  <c r="BB82" i="55641" s="1"/>
  <c r="BB83" i="55641" s="1"/>
  <c r="BB84" i="55641" s="1"/>
  <c r="BB85" i="55641" s="1"/>
  <c r="BB86" i="55641" s="1"/>
  <c r="BB87" i="55641" s="1"/>
  <c r="BB88" i="55641" s="1"/>
  <c r="BB89" i="55641" s="1"/>
  <c r="BB90" i="55641" s="1"/>
  <c r="BB91" i="55641" s="1"/>
  <c r="BB92" i="55641" s="1"/>
  <c r="BB93" i="55641" s="1"/>
  <c r="BB94" i="55641" s="1"/>
  <c r="BB95" i="55641" s="1"/>
  <c r="BB96" i="55641" s="1"/>
  <c r="BB97" i="55641" s="1"/>
  <c r="BB98" i="55641" s="1"/>
  <c r="BA9" i="55641"/>
  <c r="BA10" i="55641" s="1"/>
  <c r="BA11" i="55641" s="1"/>
  <c r="BA12" i="55641" s="1"/>
  <c r="BA13" i="55641" s="1"/>
  <c r="BA14" i="55641" s="1"/>
  <c r="BA15" i="55641" s="1"/>
  <c r="BA16" i="55641" s="1"/>
  <c r="BA17" i="55641" s="1"/>
  <c r="BA18" i="55641" s="1"/>
  <c r="BA19" i="55641" s="1"/>
  <c r="BA20" i="55641" s="1"/>
  <c r="BA21" i="55641" s="1"/>
  <c r="BA22" i="55641" s="1"/>
  <c r="BA23" i="55641" s="1"/>
  <c r="BA24" i="55641" s="1"/>
  <c r="BA25" i="55641" s="1"/>
  <c r="BA26" i="55641" s="1"/>
  <c r="BA27" i="55641" s="1"/>
  <c r="BA28" i="55641" s="1"/>
  <c r="BA29" i="55641" s="1"/>
  <c r="BA30" i="55641" s="1"/>
  <c r="BA31" i="55641" s="1"/>
  <c r="BA32" i="55641" s="1"/>
  <c r="BA33" i="55641" s="1"/>
  <c r="BA34" i="55641" s="1"/>
  <c r="BA35" i="55641" s="1"/>
  <c r="BA36" i="55641" s="1"/>
  <c r="BA37" i="55641" s="1"/>
  <c r="BA38" i="55641" s="1"/>
  <c r="BA39" i="55641" s="1"/>
  <c r="BA40" i="55641" s="1"/>
  <c r="BA41" i="55641" s="1"/>
  <c r="BA42" i="55641" s="1"/>
  <c r="BA43" i="55641" s="1"/>
  <c r="BA44" i="55641" s="1"/>
  <c r="BA45" i="55641" s="1"/>
  <c r="BA46" i="55641" s="1"/>
  <c r="BA47" i="55641" s="1"/>
  <c r="BA48" i="55641" s="1"/>
  <c r="BA49" i="55641" s="1"/>
  <c r="BA50" i="55641" s="1"/>
  <c r="BA51" i="55641" s="1"/>
  <c r="BA52" i="55641" s="1"/>
  <c r="BA53" i="55641" s="1"/>
  <c r="BA54" i="55641" s="1"/>
  <c r="BA55" i="55641" s="1"/>
  <c r="BA56" i="55641" s="1"/>
  <c r="BA57" i="55641" s="1"/>
  <c r="BA58" i="55641" s="1"/>
  <c r="BA59" i="55641" s="1"/>
  <c r="BA60" i="55641" s="1"/>
  <c r="BA61" i="55641" s="1"/>
  <c r="BA62" i="55641" s="1"/>
  <c r="BA63" i="55641" s="1"/>
  <c r="BA64" i="55641" s="1"/>
  <c r="BA65" i="55641" s="1"/>
  <c r="BA66" i="55641" s="1"/>
  <c r="BA67" i="55641" s="1"/>
  <c r="BA68" i="55641" s="1"/>
  <c r="BA69" i="55641" s="1"/>
  <c r="BA70" i="55641" s="1"/>
  <c r="BA71" i="55641" s="1"/>
  <c r="BA72" i="55641" s="1"/>
  <c r="BA73" i="55641" s="1"/>
  <c r="BA74" i="55641" s="1"/>
  <c r="BA75" i="55641" s="1"/>
  <c r="BA76" i="55641" s="1"/>
  <c r="BA77" i="55641" s="1"/>
  <c r="BA78" i="55641" s="1"/>
  <c r="BA79" i="55641" s="1"/>
  <c r="BA80" i="55641" s="1"/>
  <c r="BA81" i="55641" s="1"/>
  <c r="BA82" i="55641" s="1"/>
  <c r="BA83" i="55641" s="1"/>
  <c r="BA84" i="55641" s="1"/>
  <c r="BA85" i="55641" s="1"/>
  <c r="BA86" i="55641" s="1"/>
  <c r="BA87" i="55641" s="1"/>
  <c r="BA88" i="55641" s="1"/>
  <c r="BA89" i="55641" s="1"/>
  <c r="BA90" i="55641" s="1"/>
  <c r="BA91" i="55641" s="1"/>
  <c r="BA92" i="55641" s="1"/>
  <c r="BA93" i="55641" s="1"/>
  <c r="BA94" i="55641" s="1"/>
  <c r="BA95" i="55641" s="1"/>
  <c r="BA96" i="55641" s="1"/>
  <c r="BA97" i="55641" s="1"/>
  <c r="BA98" i="55641" s="1"/>
  <c r="AZ9" i="55641"/>
  <c r="AZ10" i="55641" s="1"/>
  <c r="AZ11" i="55641" s="1"/>
  <c r="AZ12" i="55641" s="1"/>
  <c r="AZ13" i="55641" s="1"/>
  <c r="AZ14" i="55641" s="1"/>
  <c r="AZ15" i="55641" s="1"/>
  <c r="AZ16" i="55641" s="1"/>
  <c r="AZ17" i="55641" s="1"/>
  <c r="AZ18" i="55641" s="1"/>
  <c r="AZ19" i="55641" s="1"/>
  <c r="AZ20" i="55641" s="1"/>
  <c r="AZ21" i="55641" s="1"/>
  <c r="AZ22" i="55641" s="1"/>
  <c r="AZ23" i="55641" s="1"/>
  <c r="AZ24" i="55641" s="1"/>
  <c r="AZ25" i="55641" s="1"/>
  <c r="AZ26" i="55641" s="1"/>
  <c r="AZ27" i="55641" s="1"/>
  <c r="AZ28" i="55641" s="1"/>
  <c r="AZ29" i="55641" s="1"/>
  <c r="AZ30" i="55641" s="1"/>
  <c r="AZ31" i="55641" s="1"/>
  <c r="AZ32" i="55641" s="1"/>
  <c r="AZ33" i="55641" s="1"/>
  <c r="AZ34" i="55641" s="1"/>
  <c r="AZ35" i="55641" s="1"/>
  <c r="AZ36" i="55641" s="1"/>
  <c r="AZ37" i="55641" s="1"/>
  <c r="AZ38" i="55641" s="1"/>
  <c r="AZ39" i="55641" s="1"/>
  <c r="AZ40" i="55641" s="1"/>
  <c r="AZ41" i="55641" s="1"/>
  <c r="AZ42" i="55641" s="1"/>
  <c r="AZ43" i="55641" s="1"/>
  <c r="AZ44" i="55641" s="1"/>
  <c r="AZ45" i="55641" s="1"/>
  <c r="AZ46" i="55641" s="1"/>
  <c r="AZ47" i="55641" s="1"/>
  <c r="AZ48" i="55641" s="1"/>
  <c r="AZ49" i="55641" s="1"/>
  <c r="AZ50" i="55641" s="1"/>
  <c r="AZ51" i="55641" s="1"/>
  <c r="AZ52" i="55641" s="1"/>
  <c r="AZ53" i="55641" s="1"/>
  <c r="AZ54" i="55641" s="1"/>
  <c r="AZ55" i="55641" s="1"/>
  <c r="AZ56" i="55641" s="1"/>
  <c r="AZ57" i="55641" s="1"/>
  <c r="AZ58" i="55641" s="1"/>
  <c r="AZ59" i="55641" s="1"/>
  <c r="AZ60" i="55641" s="1"/>
  <c r="AZ61" i="55641" s="1"/>
  <c r="AZ62" i="55641" s="1"/>
  <c r="AZ63" i="55641" s="1"/>
  <c r="AZ64" i="55641" s="1"/>
  <c r="AZ65" i="55641" s="1"/>
  <c r="AZ66" i="55641" s="1"/>
  <c r="AZ67" i="55641" s="1"/>
  <c r="AZ68" i="55641" s="1"/>
  <c r="AZ69" i="55641" s="1"/>
  <c r="AZ70" i="55641" s="1"/>
  <c r="AZ71" i="55641" s="1"/>
  <c r="AZ72" i="55641" s="1"/>
  <c r="AZ73" i="55641" s="1"/>
  <c r="AZ74" i="55641" s="1"/>
  <c r="AZ75" i="55641" s="1"/>
  <c r="AZ76" i="55641" s="1"/>
  <c r="AZ77" i="55641" s="1"/>
  <c r="AZ78" i="55641" s="1"/>
  <c r="AZ79" i="55641" s="1"/>
  <c r="AZ80" i="55641" s="1"/>
  <c r="AZ81" i="55641" s="1"/>
  <c r="AZ82" i="55641" s="1"/>
  <c r="AZ83" i="55641" s="1"/>
  <c r="AZ84" i="55641" s="1"/>
  <c r="AZ85" i="55641" s="1"/>
  <c r="AZ86" i="55641" s="1"/>
  <c r="AZ87" i="55641" s="1"/>
  <c r="AZ88" i="55641" s="1"/>
  <c r="AZ89" i="55641" s="1"/>
  <c r="AZ90" i="55641" s="1"/>
  <c r="AZ91" i="55641" s="1"/>
  <c r="AZ92" i="55641" s="1"/>
  <c r="AZ93" i="55641" s="1"/>
  <c r="AZ94" i="55641" s="1"/>
  <c r="AZ95" i="55641" s="1"/>
  <c r="AZ96" i="55641" s="1"/>
  <c r="AZ97" i="55641" s="1"/>
  <c r="AZ98" i="55641" s="1"/>
  <c r="AY9" i="55641"/>
  <c r="AY10" i="55641" s="1"/>
  <c r="AY11" i="55641" s="1"/>
  <c r="AY12" i="55641" s="1"/>
  <c r="AY13" i="55641" s="1"/>
  <c r="AY14" i="55641" s="1"/>
  <c r="AY15" i="55641" s="1"/>
  <c r="AY16" i="55641" s="1"/>
  <c r="AY17" i="55641" s="1"/>
  <c r="AY18" i="55641" s="1"/>
  <c r="AY19" i="55641" s="1"/>
  <c r="AY20" i="55641" s="1"/>
  <c r="AY21" i="55641" s="1"/>
  <c r="AY22" i="55641" s="1"/>
  <c r="AY23" i="55641" s="1"/>
  <c r="AY24" i="55641" s="1"/>
  <c r="AY25" i="55641" s="1"/>
  <c r="AY26" i="55641" s="1"/>
  <c r="AY27" i="55641" s="1"/>
  <c r="AY28" i="55641" s="1"/>
  <c r="AY29" i="55641" s="1"/>
  <c r="AY30" i="55641" s="1"/>
  <c r="AY31" i="55641" s="1"/>
  <c r="AY32" i="55641" s="1"/>
  <c r="AY33" i="55641" s="1"/>
  <c r="AY34" i="55641" s="1"/>
  <c r="AY35" i="55641" s="1"/>
  <c r="AY36" i="55641" s="1"/>
  <c r="AY37" i="55641" s="1"/>
  <c r="AY38" i="55641" s="1"/>
  <c r="AY39" i="55641" s="1"/>
  <c r="AY40" i="55641" s="1"/>
  <c r="AY41" i="55641" s="1"/>
  <c r="AY42" i="55641" s="1"/>
  <c r="AY43" i="55641" s="1"/>
  <c r="AY44" i="55641" s="1"/>
  <c r="AY45" i="55641" s="1"/>
  <c r="AY46" i="55641" s="1"/>
  <c r="AY47" i="55641" s="1"/>
  <c r="AY48" i="55641" s="1"/>
  <c r="AY49" i="55641" s="1"/>
  <c r="AY50" i="55641" s="1"/>
  <c r="AY51" i="55641" s="1"/>
  <c r="AY52" i="55641" s="1"/>
  <c r="AY53" i="55641" s="1"/>
  <c r="AY54" i="55641" s="1"/>
  <c r="AY55" i="55641" s="1"/>
  <c r="AY56" i="55641" s="1"/>
  <c r="AY57" i="55641" s="1"/>
  <c r="AY58" i="55641" s="1"/>
  <c r="AY59" i="55641" s="1"/>
  <c r="AY60" i="55641" s="1"/>
  <c r="AY61" i="55641" s="1"/>
  <c r="AY62" i="55641" s="1"/>
  <c r="AY63" i="55641" s="1"/>
  <c r="AY64" i="55641" s="1"/>
  <c r="AY65" i="55641" s="1"/>
  <c r="AY66" i="55641" s="1"/>
  <c r="AY67" i="55641" s="1"/>
  <c r="AY68" i="55641" s="1"/>
  <c r="AY69" i="55641" s="1"/>
  <c r="AY70" i="55641" s="1"/>
  <c r="AY71" i="55641" s="1"/>
  <c r="AY72" i="55641" s="1"/>
  <c r="AY73" i="55641" s="1"/>
  <c r="AY74" i="55641" s="1"/>
  <c r="AY75" i="55641" s="1"/>
  <c r="AY76" i="55641" s="1"/>
  <c r="AY77" i="55641" s="1"/>
  <c r="AY78" i="55641" s="1"/>
  <c r="AY79" i="55641" s="1"/>
  <c r="AY80" i="55641" s="1"/>
  <c r="AY81" i="55641" s="1"/>
  <c r="AY82" i="55641" s="1"/>
  <c r="AY83" i="55641" s="1"/>
  <c r="AY84" i="55641" s="1"/>
  <c r="AY85" i="55641" s="1"/>
  <c r="AY86" i="55641" s="1"/>
  <c r="AY87" i="55641" s="1"/>
  <c r="AY88" i="55641" s="1"/>
  <c r="AY89" i="55641" s="1"/>
  <c r="AY90" i="55641" s="1"/>
  <c r="AY91" i="55641" s="1"/>
  <c r="AY92" i="55641" s="1"/>
  <c r="AY93" i="55641" s="1"/>
  <c r="AY94" i="55641" s="1"/>
  <c r="AY95" i="55641" s="1"/>
  <c r="AY96" i="55641" s="1"/>
  <c r="AY97" i="55641" s="1"/>
  <c r="AY98" i="55641" s="1"/>
  <c r="AN9" i="55641"/>
  <c r="AL9" i="55641" s="1"/>
  <c r="Q5" i="55641"/>
  <c r="AB4" i="55641"/>
  <c r="AO33" i="1"/>
  <c r="AM33" i="1" s="1"/>
  <c r="BI33" i="1"/>
  <c r="BJ33" i="1"/>
  <c r="BK33" i="1"/>
  <c r="BL33" i="1"/>
  <c r="BM33" i="1"/>
  <c r="AO34" i="1"/>
  <c r="AM34" i="1" s="1"/>
  <c r="BI34" i="1"/>
  <c r="BJ34" i="1"/>
  <c r="BK34" i="1"/>
  <c r="BL34" i="1"/>
  <c r="BM34" i="1"/>
  <c r="AO35" i="1"/>
  <c r="AM35" i="1" s="1"/>
  <c r="BI35" i="1"/>
  <c r="BJ35" i="1"/>
  <c r="BK35" i="1"/>
  <c r="BL35" i="1"/>
  <c r="BM35" i="1"/>
  <c r="AO36" i="1"/>
  <c r="AM36" i="1" s="1"/>
  <c r="BI36" i="1"/>
  <c r="BJ36" i="1"/>
  <c r="BK36" i="1"/>
  <c r="BL36" i="1"/>
  <c r="BM36" i="1"/>
  <c r="AO37" i="1"/>
  <c r="AM37" i="1" s="1"/>
  <c r="BI37" i="1"/>
  <c r="BJ37" i="1"/>
  <c r="BK37" i="1"/>
  <c r="BL37" i="1"/>
  <c r="BM37" i="1"/>
  <c r="AO38" i="1"/>
  <c r="AM38" i="1" s="1"/>
  <c r="BI38" i="1"/>
  <c r="BJ38" i="1"/>
  <c r="BK38" i="1"/>
  <c r="BL38" i="1"/>
  <c r="BM38" i="1"/>
  <c r="AO39" i="1"/>
  <c r="AM39" i="1" s="1"/>
  <c r="BI39" i="1"/>
  <c r="BJ39" i="1"/>
  <c r="BK39" i="1"/>
  <c r="BL39" i="1"/>
  <c r="BM39" i="1"/>
  <c r="AO40" i="1"/>
  <c r="AM40" i="1" s="1"/>
  <c r="BI40" i="1"/>
  <c r="BJ40" i="1"/>
  <c r="BK40" i="1"/>
  <c r="BL40" i="1"/>
  <c r="BM40" i="1"/>
  <c r="AO41" i="1"/>
  <c r="AM41" i="1" s="1"/>
  <c r="BI41" i="1"/>
  <c r="BJ41" i="1"/>
  <c r="BK41" i="1"/>
  <c r="BL41" i="1"/>
  <c r="BM41" i="1"/>
  <c r="AO42" i="1"/>
  <c r="AM42" i="1" s="1"/>
  <c r="BI42" i="1"/>
  <c r="BJ42" i="1"/>
  <c r="BK42" i="1"/>
  <c r="BL42" i="1"/>
  <c r="BM42" i="1"/>
  <c r="AO43" i="1"/>
  <c r="AM43" i="1" s="1"/>
  <c r="BI43" i="1"/>
  <c r="BJ43" i="1"/>
  <c r="BK43" i="1"/>
  <c r="BL43" i="1"/>
  <c r="BM43" i="1"/>
  <c r="AO44" i="1"/>
  <c r="AM44" i="1" s="1"/>
  <c r="BI44" i="1"/>
  <c r="BJ44" i="1"/>
  <c r="BK44" i="1"/>
  <c r="BL44" i="1"/>
  <c r="BM44" i="1"/>
  <c r="AO45" i="1"/>
  <c r="AM45" i="1" s="1"/>
  <c r="BI45" i="1"/>
  <c r="BJ45" i="1"/>
  <c r="BK45" i="1"/>
  <c r="BL45" i="1"/>
  <c r="BM45" i="1"/>
  <c r="AO46" i="1"/>
  <c r="AM46" i="1" s="1"/>
  <c r="BI46" i="1"/>
  <c r="BJ46" i="1"/>
  <c r="BK46" i="1"/>
  <c r="BL46" i="1"/>
  <c r="BM46" i="1"/>
  <c r="AO47" i="1"/>
  <c r="AM47" i="1" s="1"/>
  <c r="BI47" i="1"/>
  <c r="BJ47" i="1"/>
  <c r="BK47" i="1"/>
  <c r="BL47" i="1"/>
  <c r="BM47" i="1"/>
  <c r="AO48" i="1"/>
  <c r="AM48" i="1" s="1"/>
  <c r="BI48" i="1"/>
  <c r="BJ48" i="1"/>
  <c r="BK48" i="1"/>
  <c r="BL48" i="1"/>
  <c r="BM48" i="1"/>
  <c r="AO49" i="1"/>
  <c r="AM49" i="1" s="1"/>
  <c r="BI49" i="1"/>
  <c r="BJ49" i="1"/>
  <c r="BK49" i="1"/>
  <c r="BL49" i="1"/>
  <c r="BM49" i="1"/>
  <c r="AO50" i="1"/>
  <c r="AM50" i="1" s="1"/>
  <c r="BI50" i="1"/>
  <c r="BJ50" i="1"/>
  <c r="BK50" i="1"/>
  <c r="BL50" i="1"/>
  <c r="BM50" i="1"/>
  <c r="AO51" i="1"/>
  <c r="AM51" i="1" s="1"/>
  <c r="BI51" i="1"/>
  <c r="BJ51" i="1"/>
  <c r="BK51" i="1"/>
  <c r="BL51" i="1"/>
  <c r="BM51" i="1"/>
  <c r="AO52" i="1"/>
  <c r="AM52" i="1" s="1"/>
  <c r="BI52" i="1"/>
  <c r="BJ52" i="1"/>
  <c r="BK52" i="1"/>
  <c r="BL52" i="1"/>
  <c r="BM52" i="1"/>
  <c r="AO53" i="1"/>
  <c r="AM53" i="1" s="1"/>
  <c r="BI53" i="1"/>
  <c r="BJ53" i="1"/>
  <c r="BK53" i="1"/>
  <c r="BL53" i="1"/>
  <c r="BM53" i="1"/>
  <c r="AO54" i="1"/>
  <c r="AM54" i="1" s="1"/>
  <c r="BI54" i="1"/>
  <c r="BJ54" i="1"/>
  <c r="BK54" i="1"/>
  <c r="BL54" i="1"/>
  <c r="BM54" i="1"/>
  <c r="AO55" i="1"/>
  <c r="AM55" i="1" s="1"/>
  <c r="BI55" i="1"/>
  <c r="BJ55" i="1"/>
  <c r="BK55" i="1"/>
  <c r="BL55" i="1"/>
  <c r="BM55" i="1"/>
  <c r="AO56" i="1"/>
  <c r="AM56" i="1" s="1"/>
  <c r="BI56" i="1"/>
  <c r="BJ56" i="1"/>
  <c r="BK56" i="1"/>
  <c r="BL56" i="1"/>
  <c r="BM56" i="1"/>
  <c r="AO57" i="1"/>
  <c r="AM57" i="1" s="1"/>
  <c r="BI57" i="1"/>
  <c r="BJ57" i="1"/>
  <c r="BK57" i="1"/>
  <c r="BL57" i="1"/>
  <c r="BM57" i="1"/>
  <c r="AO58" i="1"/>
  <c r="AM58" i="1" s="1"/>
  <c r="BI58" i="1"/>
  <c r="BJ58" i="1"/>
  <c r="BK58" i="1"/>
  <c r="BL58" i="1"/>
  <c r="BM58" i="1"/>
  <c r="AO59" i="1"/>
  <c r="AM59" i="1" s="1"/>
  <c r="BI59" i="1"/>
  <c r="BJ59" i="1"/>
  <c r="BK59" i="1"/>
  <c r="BL59" i="1"/>
  <c r="BM59" i="1"/>
  <c r="AO60" i="1"/>
  <c r="AM60" i="1" s="1"/>
  <c r="BI60" i="1"/>
  <c r="BJ60" i="1"/>
  <c r="BK60" i="1"/>
  <c r="BL60" i="1"/>
  <c r="BM60" i="1"/>
  <c r="AO61" i="1"/>
  <c r="AM61" i="1" s="1"/>
  <c r="BI61" i="1"/>
  <c r="BJ61" i="1"/>
  <c r="BK61" i="1"/>
  <c r="BL61" i="1"/>
  <c r="BM61" i="1"/>
  <c r="AO62" i="1"/>
  <c r="AM62" i="1" s="1"/>
  <c r="BI62" i="1"/>
  <c r="BJ62" i="1"/>
  <c r="BK62" i="1"/>
  <c r="BL62" i="1"/>
  <c r="BM62" i="1"/>
  <c r="AO63" i="1"/>
  <c r="AM63" i="1" s="1"/>
  <c r="BI63" i="1"/>
  <c r="BJ63" i="1"/>
  <c r="BK63" i="1"/>
  <c r="BL63" i="1"/>
  <c r="BM63" i="1"/>
  <c r="AO64" i="1"/>
  <c r="AM64" i="1" s="1"/>
  <c r="BI64" i="1"/>
  <c r="BJ64" i="1"/>
  <c r="BK64" i="1"/>
  <c r="BL64" i="1"/>
  <c r="BM64" i="1"/>
  <c r="AO65" i="1"/>
  <c r="AM65" i="1" s="1"/>
  <c r="BI65" i="1"/>
  <c r="BJ65" i="1"/>
  <c r="BK65" i="1"/>
  <c r="BL65" i="1"/>
  <c r="BM65" i="1"/>
  <c r="AO66" i="1"/>
  <c r="AM66" i="1" s="1"/>
  <c r="BI66" i="1"/>
  <c r="BJ66" i="1"/>
  <c r="BK66" i="1"/>
  <c r="BL66" i="1"/>
  <c r="BM66" i="1"/>
  <c r="AO67" i="1"/>
  <c r="AM67" i="1" s="1"/>
  <c r="BI67" i="1"/>
  <c r="BJ67" i="1"/>
  <c r="BK67" i="1"/>
  <c r="BL67" i="1"/>
  <c r="BM67" i="1"/>
  <c r="AO68" i="1"/>
  <c r="AM68" i="1" s="1"/>
  <c r="BI68" i="1"/>
  <c r="BJ68" i="1"/>
  <c r="BK68" i="1"/>
  <c r="BL68" i="1"/>
  <c r="BM68" i="1"/>
  <c r="AO69" i="1"/>
  <c r="AM69" i="1" s="1"/>
  <c r="BI69" i="1"/>
  <c r="BJ69" i="1"/>
  <c r="BK69" i="1"/>
  <c r="BL69" i="1"/>
  <c r="BM69" i="1"/>
  <c r="AO70" i="1"/>
  <c r="AM70" i="1" s="1"/>
  <c r="BI70" i="1"/>
  <c r="BJ70" i="1"/>
  <c r="BK70" i="1"/>
  <c r="BL70" i="1"/>
  <c r="BM70" i="1"/>
  <c r="AO71" i="1"/>
  <c r="AM71" i="1" s="1"/>
  <c r="BI71" i="1"/>
  <c r="BJ71" i="1"/>
  <c r="BK71" i="1"/>
  <c r="BL71" i="1"/>
  <c r="BM71" i="1"/>
  <c r="AO72" i="1"/>
  <c r="AM72" i="1" s="1"/>
  <c r="BI72" i="1"/>
  <c r="BJ72" i="1"/>
  <c r="BK72" i="1"/>
  <c r="BL72" i="1"/>
  <c r="BM72" i="1"/>
  <c r="AO73" i="1"/>
  <c r="AM73" i="1" s="1"/>
  <c r="BI73" i="1"/>
  <c r="BJ73" i="1"/>
  <c r="BK73" i="1"/>
  <c r="BL73" i="1"/>
  <c r="BM73" i="1"/>
  <c r="AO74" i="1"/>
  <c r="AM74" i="1" s="1"/>
  <c r="BI74" i="1"/>
  <c r="BJ74" i="1"/>
  <c r="BK74" i="1"/>
  <c r="BL74" i="1"/>
  <c r="BM74" i="1"/>
  <c r="AO75" i="1"/>
  <c r="AM75" i="1" s="1"/>
  <c r="BI75" i="1"/>
  <c r="BJ75" i="1"/>
  <c r="BK75" i="1"/>
  <c r="BL75" i="1"/>
  <c r="BM75" i="1"/>
  <c r="AO76" i="1"/>
  <c r="AM76" i="1" s="1"/>
  <c r="BI76" i="1"/>
  <c r="BJ76" i="1"/>
  <c r="BK76" i="1"/>
  <c r="BL76" i="1"/>
  <c r="BM76" i="1"/>
  <c r="AO77" i="1"/>
  <c r="AM77" i="1" s="1"/>
  <c r="BI77" i="1"/>
  <c r="BJ77" i="1"/>
  <c r="BK77" i="1"/>
  <c r="BL77" i="1"/>
  <c r="BM77" i="1"/>
  <c r="AO78" i="1"/>
  <c r="AM78" i="1" s="1"/>
  <c r="BI78" i="1"/>
  <c r="BJ78" i="1"/>
  <c r="BK78" i="1"/>
  <c r="BL78" i="1"/>
  <c r="BM78" i="1"/>
  <c r="AO79" i="1"/>
  <c r="AM79" i="1" s="1"/>
  <c r="BI79" i="1"/>
  <c r="BJ79" i="1"/>
  <c r="BK79" i="1"/>
  <c r="BL79" i="1"/>
  <c r="BM79" i="1"/>
  <c r="AO80" i="1"/>
  <c r="AM80" i="1" s="1"/>
  <c r="BI80" i="1"/>
  <c r="BJ80" i="1"/>
  <c r="BK80" i="1"/>
  <c r="BL80" i="1"/>
  <c r="BM80" i="1"/>
  <c r="AO81" i="1"/>
  <c r="AM81" i="1" s="1"/>
  <c r="BI81" i="1"/>
  <c r="BJ81" i="1"/>
  <c r="BK81" i="1"/>
  <c r="BL81" i="1"/>
  <c r="BM81" i="1"/>
  <c r="AO82" i="1"/>
  <c r="AM82" i="1" s="1"/>
  <c r="BI82" i="1"/>
  <c r="BJ82" i="1"/>
  <c r="BK82" i="1"/>
  <c r="BL82" i="1"/>
  <c r="BM82" i="1"/>
  <c r="AO83" i="1"/>
  <c r="AM83" i="1" s="1"/>
  <c r="BI83" i="1"/>
  <c r="BJ83" i="1"/>
  <c r="BK83" i="1"/>
  <c r="BL83" i="1"/>
  <c r="BM83" i="1"/>
  <c r="AO84" i="1"/>
  <c r="AM84" i="1" s="1"/>
  <c r="BI84" i="1"/>
  <c r="BJ84" i="1"/>
  <c r="BK84" i="1"/>
  <c r="BL84" i="1"/>
  <c r="BM84" i="1"/>
  <c r="AO85" i="1"/>
  <c r="AM85" i="1" s="1"/>
  <c r="BI85" i="1"/>
  <c r="BJ85" i="1"/>
  <c r="BK85" i="1"/>
  <c r="BL85" i="1"/>
  <c r="BM85" i="1"/>
  <c r="AO86" i="1"/>
  <c r="AM86" i="1" s="1"/>
  <c r="BI86" i="1"/>
  <c r="BJ86" i="1"/>
  <c r="BK86" i="1"/>
  <c r="BL86" i="1"/>
  <c r="BM86" i="1"/>
  <c r="AO87" i="1"/>
  <c r="AM87" i="1" s="1"/>
  <c r="BI87" i="1"/>
  <c r="BJ87" i="1"/>
  <c r="BK87" i="1"/>
  <c r="BL87" i="1"/>
  <c r="BM87" i="1"/>
  <c r="AO88" i="1"/>
  <c r="AM88" i="1" s="1"/>
  <c r="BI88" i="1"/>
  <c r="BJ88" i="1"/>
  <c r="BK88" i="1"/>
  <c r="BL88" i="1"/>
  <c r="BM88" i="1"/>
  <c r="AO89" i="1"/>
  <c r="AM89" i="1" s="1"/>
  <c r="BI89" i="1"/>
  <c r="BJ89" i="1"/>
  <c r="BK89" i="1"/>
  <c r="BL89" i="1"/>
  <c r="BM89" i="1"/>
  <c r="AO90" i="1"/>
  <c r="AM90" i="1" s="1"/>
  <c r="BI90" i="1"/>
  <c r="BJ90" i="1"/>
  <c r="BK90" i="1"/>
  <c r="BL90" i="1"/>
  <c r="BM90" i="1"/>
  <c r="AO91" i="1"/>
  <c r="AM91" i="1" s="1"/>
  <c r="BI91" i="1"/>
  <c r="BJ91" i="1"/>
  <c r="BK91" i="1"/>
  <c r="BL91" i="1"/>
  <c r="BM91" i="1"/>
  <c r="AO92" i="1"/>
  <c r="AM92" i="1" s="1"/>
  <c r="BI92" i="1"/>
  <c r="BJ92" i="1"/>
  <c r="BK92" i="1"/>
  <c r="BL92" i="1"/>
  <c r="BM92" i="1"/>
  <c r="AO93" i="1"/>
  <c r="AM93" i="1" s="1"/>
  <c r="BI93" i="1"/>
  <c r="BJ93" i="1"/>
  <c r="BK93" i="1"/>
  <c r="BL93" i="1"/>
  <c r="BM93" i="1"/>
  <c r="AO94" i="1"/>
  <c r="AM94" i="1" s="1"/>
  <c r="BI94" i="1"/>
  <c r="BJ94" i="1"/>
  <c r="BK94" i="1"/>
  <c r="BL94" i="1"/>
  <c r="BM94" i="1"/>
  <c r="AO95" i="1"/>
  <c r="AM95" i="1" s="1"/>
  <c r="BI95" i="1"/>
  <c r="BJ95" i="1"/>
  <c r="BK95" i="1"/>
  <c r="BL95" i="1"/>
  <c r="BM95" i="1"/>
  <c r="AO96" i="1"/>
  <c r="AM96" i="1" s="1"/>
  <c r="BI96" i="1"/>
  <c r="BJ96" i="1"/>
  <c r="BK96" i="1"/>
  <c r="BL96" i="1"/>
  <c r="BM96" i="1"/>
  <c r="AO97" i="1"/>
  <c r="AM97" i="1" s="1"/>
  <c r="BI97" i="1"/>
  <c r="BJ97" i="1"/>
  <c r="BK97" i="1"/>
  <c r="BL97" i="1"/>
  <c r="BM97" i="1"/>
  <c r="AO98" i="1"/>
  <c r="AM98" i="1" s="1"/>
  <c r="BI98" i="1"/>
  <c r="BJ98" i="1"/>
  <c r="BK98" i="1"/>
  <c r="BL98" i="1"/>
  <c r="BM98" i="1"/>
  <c r="C98" i="1"/>
  <c r="B98" i="1"/>
  <c r="B97" i="1" s="1"/>
  <c r="B96" i="1" s="1"/>
  <c r="B95" i="1" s="1"/>
  <c r="B94" i="1" s="1"/>
  <c r="B93" i="1" s="1"/>
  <c r="B92" i="1" s="1"/>
  <c r="B91" i="1" s="1"/>
  <c r="B90" i="1" s="1"/>
  <c r="B89" i="1" s="1"/>
  <c r="B88" i="1" s="1"/>
  <c r="B87" i="1" s="1"/>
  <c r="B86" i="1" s="1"/>
  <c r="B85" i="1" s="1"/>
  <c r="B84" i="1" s="1"/>
  <c r="B83" i="1" s="1"/>
  <c r="B82" i="1" s="1"/>
  <c r="B81" i="1" s="1"/>
  <c r="B80" i="1" s="1"/>
  <c r="B79" i="1" s="1"/>
  <c r="B78" i="1" s="1"/>
  <c r="B77" i="1" s="1"/>
  <c r="B76" i="1" s="1"/>
  <c r="B75" i="1" s="1"/>
  <c r="B74" i="1" s="1"/>
  <c r="B73" i="1" s="1"/>
  <c r="B72" i="1" s="1"/>
  <c r="B71" i="1" s="1"/>
  <c r="B70" i="1" s="1"/>
  <c r="B69" i="1" s="1"/>
  <c r="B68" i="1" s="1"/>
  <c r="B67" i="1" s="1"/>
  <c r="B66" i="1" s="1"/>
  <c r="B65" i="1" s="1"/>
  <c r="B64" i="1" s="1"/>
  <c r="B63" i="1" s="1"/>
  <c r="B62" i="1" s="1"/>
  <c r="B61" i="1" s="1"/>
  <c r="B60" i="1" s="1"/>
  <c r="B59" i="1" s="1"/>
  <c r="B58" i="1" s="1"/>
  <c r="B57" i="1" s="1"/>
  <c r="B56" i="1" s="1"/>
  <c r="B55" i="1" s="1"/>
  <c r="B54" i="1" s="1"/>
  <c r="B53" i="1" s="1"/>
  <c r="B52" i="1" s="1"/>
  <c r="B51" i="1" s="1"/>
  <c r="B50" i="1" s="1"/>
  <c r="B49" i="1" s="1"/>
  <c r="B48" i="1" s="1"/>
  <c r="B47" i="1" s="1"/>
  <c r="B46" i="1" s="1"/>
  <c r="B45" i="1" s="1"/>
  <c r="B44" i="1" s="1"/>
  <c r="B43" i="1" s="1"/>
  <c r="B42" i="1" s="1"/>
  <c r="B41" i="1" s="1"/>
  <c r="B40" i="1" s="1"/>
  <c r="B39" i="1" s="1"/>
  <c r="B38" i="1" s="1"/>
  <c r="B37" i="1" s="1"/>
  <c r="B36" i="1" s="1"/>
  <c r="B35" i="1" s="1"/>
  <c r="B34" i="1" s="1"/>
  <c r="B33" i="1" s="1"/>
  <c r="B32" i="1" s="1"/>
  <c r="B31" i="1" s="1"/>
  <c r="B30" i="1" s="1"/>
  <c r="B29" i="1" s="1"/>
  <c r="B28" i="1" s="1"/>
  <c r="B27" i="1" s="1"/>
  <c r="B26" i="1" s="1"/>
  <c r="B25" i="1" s="1"/>
  <c r="B24" i="1" s="1"/>
  <c r="B23" i="1" s="1"/>
  <c r="B22" i="1" s="1"/>
  <c r="B21" i="1" s="1"/>
  <c r="B20" i="1" s="1"/>
  <c r="B19" i="1" s="1"/>
  <c r="B18" i="1" s="1"/>
  <c r="B17" i="1" s="1"/>
  <c r="B16" i="1" s="1"/>
  <c r="B15" i="1" s="1"/>
  <c r="B14" i="1" s="1"/>
  <c r="B13" i="1" s="1"/>
  <c r="B12" i="1" s="1"/>
  <c r="B11" i="1" s="1"/>
  <c r="B10" i="1" s="1"/>
  <c r="B9" i="1" s="1"/>
  <c r="C97" i="1" l="1"/>
  <c r="C96" i="1" s="1"/>
  <c r="C91" i="55649"/>
  <c r="C87" i="55647"/>
  <c r="BM14" i="55641"/>
  <c r="BM87" i="55641"/>
  <c r="BM94" i="55641"/>
  <c r="BM10" i="55641"/>
  <c r="BM20" i="55641"/>
  <c r="BM64" i="55641"/>
  <c r="BM72" i="55641"/>
  <c r="BM85" i="55641"/>
  <c r="BM98" i="55641"/>
  <c r="BM13" i="55641"/>
  <c r="BM35" i="55641"/>
  <c r="BM40" i="55641"/>
  <c r="BM57" i="55641"/>
  <c r="BM95" i="55641"/>
  <c r="BM38" i="55641"/>
  <c r="BM26" i="55641"/>
  <c r="BM15" i="55641"/>
  <c r="BM41" i="55641"/>
  <c r="BM60" i="55641"/>
  <c r="BM74" i="55641"/>
  <c r="BM31" i="55641"/>
  <c r="BM24" i="55641"/>
  <c r="BM11" i="55641"/>
  <c r="BM50" i="55641"/>
  <c r="BM52" i="55641"/>
  <c r="BM54" i="55641"/>
  <c r="BM66" i="55641"/>
  <c r="BM73" i="55641"/>
  <c r="BM86" i="55641"/>
  <c r="BM22" i="55641"/>
  <c r="BM9" i="55641"/>
  <c r="BM19" i="55641"/>
  <c r="BM17" i="55641"/>
  <c r="BM36" i="55641"/>
  <c r="BM34" i="55641"/>
  <c r="BM46" i="55641"/>
  <c r="BM29" i="55641"/>
  <c r="BM27" i="55641"/>
  <c r="BM43" i="55641"/>
  <c r="BM58" i="55641"/>
  <c r="BM51" i="55641"/>
  <c r="BM59" i="55641"/>
  <c r="BM61" i="55641"/>
  <c r="BM70" i="55641"/>
  <c r="BM62" i="55641"/>
  <c r="BM77" i="55641"/>
  <c r="BM63" i="55641"/>
  <c r="BM65" i="55641"/>
  <c r="BM67" i="55641"/>
  <c r="BM76" i="55641"/>
  <c r="BM68" i="55641"/>
  <c r="BM55" i="55641"/>
  <c r="BM69" i="55641"/>
  <c r="BM75" i="55641"/>
  <c r="C97" i="55641"/>
  <c r="BM93" i="55641"/>
  <c r="BM79" i="55641"/>
  <c r="BM81" i="55641"/>
  <c r="BM83" i="55641"/>
  <c r="BM88" i="55641"/>
  <c r="BM96" i="55641"/>
  <c r="BM89" i="55641"/>
  <c r="BM97" i="55641"/>
  <c r="BM90" i="55641"/>
  <c r="BM91" i="55641"/>
  <c r="BM78" i="55641"/>
  <c r="BM80" i="55641"/>
  <c r="BM82" i="55641"/>
  <c r="BM84" i="55641"/>
  <c r="BM92" i="55641"/>
  <c r="BN56" i="1"/>
  <c r="BN84" i="1"/>
  <c r="BN68" i="1"/>
  <c r="BN81" i="1"/>
  <c r="BN73" i="1"/>
  <c r="BN69" i="1"/>
  <c r="BN63" i="1"/>
  <c r="BN90" i="1"/>
  <c r="BN95" i="1"/>
  <c r="AQ98" i="1"/>
  <c r="AN98" i="1" s="1"/>
  <c r="BN59" i="1"/>
  <c r="BN43" i="1"/>
  <c r="BN70" i="1"/>
  <c r="BN74" i="1"/>
  <c r="BN82" i="1"/>
  <c r="BN98" i="1"/>
  <c r="BN80" i="1"/>
  <c r="BN36" i="1"/>
  <c r="AQ97" i="1"/>
  <c r="AN97" i="1" s="1"/>
  <c r="BN97" i="1"/>
  <c r="BN40" i="1"/>
  <c r="BN92" i="1"/>
  <c r="BN47" i="1"/>
  <c r="BN75" i="1"/>
  <c r="BN57" i="1"/>
  <c r="BN44" i="1"/>
  <c r="BN91" i="1"/>
  <c r="BN41" i="1"/>
  <c r="BN79" i="1"/>
  <c r="BN62" i="1"/>
  <c r="BN52" i="1"/>
  <c r="BN46" i="1"/>
  <c r="BN87" i="1"/>
  <c r="BN66" i="1"/>
  <c r="BN55" i="1"/>
  <c r="BN71" i="1"/>
  <c r="BN67" i="1"/>
  <c r="BN53" i="1"/>
  <c r="BN89" i="1"/>
  <c r="BN83" i="1"/>
  <c r="BN65" i="1"/>
  <c r="BN60" i="1"/>
  <c r="BN39" i="1"/>
  <c r="BN37" i="1"/>
  <c r="BN96" i="1"/>
  <c r="BN78" i="1"/>
  <c r="BN61" i="1"/>
  <c r="BN45" i="1"/>
  <c r="BN38" i="1"/>
  <c r="BN88" i="1"/>
  <c r="BN93" i="1"/>
  <c r="BN85" i="1"/>
  <c r="BN86" i="1"/>
  <c r="BN94" i="1"/>
  <c r="BN54" i="1"/>
  <c r="BN35" i="1"/>
  <c r="BN77" i="1"/>
  <c r="BN76" i="1"/>
  <c r="BN51" i="1"/>
  <c r="BN58" i="1"/>
  <c r="BN42" i="1"/>
  <c r="BN50" i="1"/>
  <c r="BN34" i="1"/>
  <c r="BN72" i="1"/>
  <c r="BN49" i="1"/>
  <c r="BN48" i="1"/>
  <c r="BN64" i="1"/>
  <c r="BN33" i="1"/>
  <c r="F59" i="55647"/>
  <c r="F58" i="55647"/>
  <c r="F57" i="55647"/>
  <c r="B58" i="55647"/>
  <c r="B57" i="55647"/>
  <c r="Q5" i="1"/>
  <c r="L9" i="55642"/>
  <c r="M9" i="55642"/>
  <c r="L10" i="55642"/>
  <c r="M10" i="55642"/>
  <c r="L11" i="55642"/>
  <c r="M11" i="55642"/>
  <c r="L12" i="55642"/>
  <c r="M12" i="55642"/>
  <c r="L13" i="55642"/>
  <c r="M13" i="55642"/>
  <c r="L14" i="55642"/>
  <c r="M14" i="55642"/>
  <c r="L15" i="55642"/>
  <c r="M15" i="55642"/>
  <c r="L16" i="55642"/>
  <c r="M16" i="55642"/>
  <c r="L17" i="55642"/>
  <c r="M17" i="55642"/>
  <c r="L18" i="55642"/>
  <c r="M18" i="55642"/>
  <c r="L19" i="55642"/>
  <c r="M19" i="55642"/>
  <c r="L20" i="55642"/>
  <c r="M20" i="55642"/>
  <c r="L21" i="55642"/>
  <c r="M21" i="55642"/>
  <c r="L22" i="55642"/>
  <c r="M22" i="55642"/>
  <c r="L23" i="55642"/>
  <c r="M23" i="55642"/>
  <c r="L24" i="55642"/>
  <c r="M24" i="55642"/>
  <c r="L25" i="55642"/>
  <c r="M25" i="55642"/>
  <c r="L26" i="55642"/>
  <c r="M26" i="55642"/>
  <c r="N8" i="55642"/>
  <c r="N9" i="55642"/>
  <c r="N10" i="55642"/>
  <c r="N11" i="55642"/>
  <c r="N12" i="55642"/>
  <c r="N13" i="55642"/>
  <c r="N14" i="55642"/>
  <c r="N15" i="55642"/>
  <c r="N16" i="55642"/>
  <c r="N17" i="55642"/>
  <c r="N18" i="55642"/>
  <c r="N19" i="55642"/>
  <c r="N20" i="55642"/>
  <c r="N21" i="55642"/>
  <c r="N22" i="55642"/>
  <c r="N23" i="55642"/>
  <c r="N24" i="55642"/>
  <c r="N25" i="55642"/>
  <c r="N26" i="55642"/>
  <c r="N7" i="55642"/>
  <c r="E6" i="3"/>
  <c r="L7" i="55642"/>
  <c r="BK9" i="1"/>
  <c r="BI9" i="1"/>
  <c r="BI10" i="1"/>
  <c r="BI11" i="1"/>
  <c r="BI12" i="1"/>
  <c r="C99" i="1"/>
  <c r="BI13" i="1"/>
  <c r="BI14" i="1"/>
  <c r="BI15" i="1"/>
  <c r="BI16" i="1"/>
  <c r="BI17" i="1"/>
  <c r="BI18" i="1"/>
  <c r="BI19" i="1"/>
  <c r="BI20" i="1"/>
  <c r="BI21" i="1"/>
  <c r="BI22" i="1"/>
  <c r="BI23" i="1"/>
  <c r="BI24" i="1"/>
  <c r="BI25" i="1"/>
  <c r="BI26" i="1"/>
  <c r="BI27" i="1"/>
  <c r="BI28" i="1"/>
  <c r="BI29" i="1"/>
  <c r="BI30" i="1"/>
  <c r="BI31" i="1"/>
  <c r="BI32" i="1"/>
  <c r="AC4" i="1"/>
  <c r="BJ9" i="1"/>
  <c r="BL9" i="1"/>
  <c r="BM9" i="1"/>
  <c r="BJ10" i="1"/>
  <c r="BK10" i="1"/>
  <c r="BL10" i="1"/>
  <c r="BM10" i="1"/>
  <c r="BJ11" i="1"/>
  <c r="BK11" i="1"/>
  <c r="BL11" i="1"/>
  <c r="BM11" i="1"/>
  <c r="S9" i="55643"/>
  <c r="BJ12" i="1"/>
  <c r="BK12" i="1"/>
  <c r="BL12" i="1"/>
  <c r="BM12" i="1"/>
  <c r="S10" i="55643"/>
  <c r="BJ13" i="1"/>
  <c r="BK13" i="1"/>
  <c r="BL13" i="1"/>
  <c r="BM13" i="1"/>
  <c r="S4" i="55643"/>
  <c r="BJ14" i="1"/>
  <c r="BK14" i="1"/>
  <c r="BL14" i="1"/>
  <c r="BM14" i="1"/>
  <c r="BJ15" i="1"/>
  <c r="BK15" i="1"/>
  <c r="BL15" i="1"/>
  <c r="BM15" i="1"/>
  <c r="BJ16" i="1"/>
  <c r="BK16" i="1"/>
  <c r="BL16" i="1"/>
  <c r="BM16" i="1"/>
  <c r="BJ17" i="1"/>
  <c r="BK17" i="1"/>
  <c r="BL17" i="1"/>
  <c r="BM17" i="1"/>
  <c r="BJ18" i="1"/>
  <c r="BK18" i="1"/>
  <c r="BL18" i="1"/>
  <c r="BM18" i="1"/>
  <c r="BJ19" i="1"/>
  <c r="BK19" i="1"/>
  <c r="BL19" i="1"/>
  <c r="BM19" i="1"/>
  <c r="BJ20" i="1"/>
  <c r="BK20" i="1"/>
  <c r="BL20" i="1"/>
  <c r="BM20" i="1"/>
  <c r="BJ21" i="1"/>
  <c r="BK21" i="1"/>
  <c r="BL21" i="1"/>
  <c r="BM21" i="1"/>
  <c r="BJ22" i="1"/>
  <c r="BK22" i="1"/>
  <c r="BL22" i="1"/>
  <c r="BM22" i="1"/>
  <c r="BJ23" i="1"/>
  <c r="BK23" i="1"/>
  <c r="BL23" i="1"/>
  <c r="BM23" i="1"/>
  <c r="BJ24" i="1"/>
  <c r="BK24" i="1"/>
  <c r="BL24" i="1"/>
  <c r="BM24" i="1"/>
  <c r="BJ25" i="1"/>
  <c r="BK25" i="1"/>
  <c r="BL25" i="1"/>
  <c r="BM25" i="1"/>
  <c r="BJ26" i="1"/>
  <c r="BK26" i="1"/>
  <c r="BL26" i="1"/>
  <c r="BM26" i="1"/>
  <c r="BJ27" i="1"/>
  <c r="BK27" i="1"/>
  <c r="BL27" i="1"/>
  <c r="BM27" i="1"/>
  <c r="BJ28" i="1"/>
  <c r="BK28" i="1"/>
  <c r="BL28" i="1"/>
  <c r="BM28" i="1"/>
  <c r="S5" i="55643"/>
  <c r="BJ29" i="1"/>
  <c r="BK29" i="1"/>
  <c r="BL29" i="1"/>
  <c r="BM29" i="1"/>
  <c r="BJ30" i="1"/>
  <c r="BK30" i="1"/>
  <c r="BL30" i="1"/>
  <c r="BM30" i="1"/>
  <c r="S7" i="55643"/>
  <c r="BJ31" i="1"/>
  <c r="BK31" i="1"/>
  <c r="BL31" i="1"/>
  <c r="BM31" i="1"/>
  <c r="S8" i="55643"/>
  <c r="BJ32" i="1"/>
  <c r="BK32" i="1"/>
  <c r="BL32" i="1"/>
  <c r="BM32" i="1"/>
  <c r="H6" i="55647"/>
  <c r="H58" i="55647" s="1"/>
  <c r="E6" i="55647"/>
  <c r="E58" i="55647" s="1"/>
  <c r="H5" i="55647"/>
  <c r="H57" i="55647" s="1"/>
  <c r="E5" i="55647"/>
  <c r="E57" i="55647" s="1"/>
  <c r="S5" i="55644"/>
  <c r="S6" i="55644"/>
  <c r="S7" i="55644"/>
  <c r="S8" i="55644"/>
  <c r="S9" i="55644"/>
  <c r="S10" i="55644"/>
  <c r="S4" i="55644"/>
  <c r="S6" i="55643"/>
  <c r="A2" i="55649"/>
  <c r="A3" i="55649" s="1"/>
  <c r="A4" i="55649" s="1"/>
  <c r="A5" i="55649" s="1"/>
  <c r="A6" i="55649" s="1"/>
  <c r="A7" i="55649" s="1"/>
  <c r="A8" i="55649" s="1"/>
  <c r="A9" i="55649" s="1"/>
  <c r="A10" i="55649" s="1"/>
  <c r="A11" i="55649" s="1"/>
  <c r="A12" i="55649" s="1"/>
  <c r="A13" i="55649" s="1"/>
  <c r="A14" i="55649" s="1"/>
  <c r="A15" i="55649" s="1"/>
  <c r="A16" i="55649" s="1"/>
  <c r="A17" i="55649" s="1"/>
  <c r="A18" i="55649" s="1"/>
  <c r="A19" i="55649" s="1"/>
  <c r="A20" i="55649" s="1"/>
  <c r="A21" i="55649" s="1"/>
  <c r="A22" i="55649" s="1"/>
  <c r="A23" i="55649" s="1"/>
  <c r="A24" i="55649" s="1"/>
  <c r="A25" i="55649" s="1"/>
  <c r="A26" i="55649" s="1"/>
  <c r="A27" i="55649" s="1"/>
  <c r="A28" i="55649" s="1"/>
  <c r="A29" i="55649" s="1"/>
  <c r="A30" i="55649" s="1"/>
  <c r="A31" i="55649" s="1"/>
  <c r="A32" i="55649" s="1"/>
  <c r="A33" i="55649" s="1"/>
  <c r="A34" i="55649" s="1"/>
  <c r="A35" i="55649" s="1"/>
  <c r="A36" i="55649" s="1"/>
  <c r="A37" i="55649" s="1"/>
  <c r="A38" i="55649" s="1"/>
  <c r="A39" i="55649" s="1"/>
  <c r="A40" i="55649" s="1"/>
  <c r="A41" i="55649" s="1"/>
  <c r="A42" i="55649" s="1"/>
  <c r="A43" i="55649" s="1"/>
  <c r="A44" i="55649" s="1"/>
  <c r="A45" i="55649" s="1"/>
  <c r="A46" i="55649" s="1"/>
  <c r="A47" i="55649" s="1"/>
  <c r="A48" i="55649" s="1"/>
  <c r="A49" i="55649" s="1"/>
  <c r="A50" i="55649" s="1"/>
  <c r="A51" i="55649" s="1"/>
  <c r="A52" i="55649" s="1"/>
  <c r="A53" i="55649" s="1"/>
  <c r="A54" i="55649" s="1"/>
  <c r="A55" i="55649" s="1"/>
  <c r="A56" i="55649" s="1"/>
  <c r="A57" i="55649" s="1"/>
  <c r="A58" i="55649" s="1"/>
  <c r="A59" i="55649" s="1"/>
  <c r="A60" i="55649" s="1"/>
  <c r="A61" i="55649" s="1"/>
  <c r="A62" i="55649" s="1"/>
  <c r="A63" i="55649" s="1"/>
  <c r="A64" i="55649" s="1"/>
  <c r="A65" i="55649" s="1"/>
  <c r="A66" i="55649" s="1"/>
  <c r="A67" i="55649" s="1"/>
  <c r="A68" i="55649" s="1"/>
  <c r="A69" i="55649" s="1"/>
  <c r="A70" i="55649" s="1"/>
  <c r="A71" i="55649" s="1"/>
  <c r="A72" i="55649" s="1"/>
  <c r="A73" i="55649" s="1"/>
  <c r="A74" i="55649" s="1"/>
  <c r="A75" i="55649" s="1"/>
  <c r="A76" i="55649" s="1"/>
  <c r="A77" i="55649" s="1"/>
  <c r="A78" i="55649" s="1"/>
  <c r="A79" i="55649" s="1"/>
  <c r="A80" i="55649" s="1"/>
  <c r="A81" i="55649" s="1"/>
  <c r="A82" i="55649" s="1"/>
  <c r="A83" i="55649" s="1"/>
  <c r="A84" i="55649" s="1"/>
  <c r="A85" i="55649" s="1"/>
  <c r="A86" i="55649" s="1"/>
  <c r="A87" i="55649" s="1"/>
  <c r="A88" i="55649" s="1"/>
  <c r="A89" i="55649" s="1"/>
  <c r="A90" i="55649" s="1"/>
  <c r="A91" i="55649" s="1"/>
  <c r="T8" i="55643"/>
  <c r="U8" i="55643"/>
  <c r="V8" i="55643"/>
  <c r="W8" i="55643"/>
  <c r="T9" i="55643"/>
  <c r="U9" i="55643"/>
  <c r="V9" i="55643"/>
  <c r="W9" i="55643"/>
  <c r="T10" i="55643"/>
  <c r="U10" i="55643"/>
  <c r="V10" i="55643"/>
  <c r="W10" i="55643"/>
  <c r="T4" i="55643"/>
  <c r="U4" i="55643"/>
  <c r="V4" i="55643"/>
  <c r="W4" i="55643"/>
  <c r="T5" i="55643"/>
  <c r="U5" i="55643"/>
  <c r="V5" i="55643"/>
  <c r="W5" i="55643"/>
  <c r="T6" i="55643"/>
  <c r="U6" i="55643"/>
  <c r="V6" i="55643"/>
  <c r="W6" i="55643"/>
  <c r="T7" i="55643"/>
  <c r="U7" i="55643"/>
  <c r="V7" i="55643"/>
  <c r="W7" i="55643"/>
  <c r="B4" i="55649"/>
  <c r="B5" i="55649"/>
  <c r="B6" i="55649"/>
  <c r="B7" i="55649"/>
  <c r="B8" i="55649"/>
  <c r="B9" i="55649"/>
  <c r="B10" i="55649"/>
  <c r="B11" i="55649"/>
  <c r="B12" i="55649"/>
  <c r="B13" i="55649"/>
  <c r="B14" i="55649"/>
  <c r="B15" i="55649"/>
  <c r="B16" i="55649"/>
  <c r="B17" i="55649"/>
  <c r="B18" i="55649"/>
  <c r="B19" i="55649"/>
  <c r="B20" i="55649"/>
  <c r="B21" i="55649"/>
  <c r="B22" i="55649"/>
  <c r="B23" i="55649"/>
  <c r="B24" i="55649"/>
  <c r="B25" i="55649"/>
  <c r="B3" i="55649"/>
  <c r="B2" i="55649"/>
  <c r="T10" i="55644"/>
  <c r="U10" i="55644"/>
  <c r="V10" i="55644"/>
  <c r="W10" i="55644"/>
  <c r="T4" i="55644"/>
  <c r="U4" i="55644"/>
  <c r="V4" i="55644"/>
  <c r="W4" i="55644"/>
  <c r="T5" i="55644"/>
  <c r="U5" i="55644"/>
  <c r="V5" i="55644"/>
  <c r="W5" i="55644"/>
  <c r="T6" i="55644"/>
  <c r="U6" i="55644"/>
  <c r="V6" i="55644"/>
  <c r="W6" i="55644"/>
  <c r="T7" i="55644"/>
  <c r="U7" i="55644"/>
  <c r="V7" i="55644"/>
  <c r="W7" i="55644"/>
  <c r="Q23" i="55644"/>
  <c r="Q22" i="55644"/>
  <c r="Q21" i="55644"/>
  <c r="Q20" i="55644"/>
  <c r="Q19" i="55644"/>
  <c r="Q18" i="55644"/>
  <c r="Q17" i="55644"/>
  <c r="T9" i="55644"/>
  <c r="U9" i="55644"/>
  <c r="V9" i="55644"/>
  <c r="W9" i="55644"/>
  <c r="T8" i="55644"/>
  <c r="U8" i="55644"/>
  <c r="V8" i="55644"/>
  <c r="W8" i="55644"/>
  <c r="B99" i="1"/>
  <c r="AO9" i="1"/>
  <c r="AM9" i="1" s="1"/>
  <c r="Q17" i="55643"/>
  <c r="AZ9" i="1"/>
  <c r="AZ10" i="1" s="1"/>
  <c r="AZ11" i="1" s="1"/>
  <c r="AZ12" i="1" s="1"/>
  <c r="AZ13" i="1" s="1"/>
  <c r="AZ14" i="1" s="1"/>
  <c r="AZ15" i="1" s="1"/>
  <c r="AZ16" i="1" s="1"/>
  <c r="AZ17" i="1" s="1"/>
  <c r="AZ18" i="1" s="1"/>
  <c r="AZ19" i="1" s="1"/>
  <c r="AZ20" i="1" s="1"/>
  <c r="AZ21" i="1" s="1"/>
  <c r="AZ22" i="1" s="1"/>
  <c r="AZ23" i="1" s="1"/>
  <c r="AZ24" i="1" s="1"/>
  <c r="AZ25" i="1" s="1"/>
  <c r="AZ26" i="1" s="1"/>
  <c r="AZ27" i="1" s="1"/>
  <c r="AZ28" i="1" s="1"/>
  <c r="AZ29" i="1" s="1"/>
  <c r="AZ30" i="1" s="1"/>
  <c r="AZ31" i="1" s="1"/>
  <c r="AZ32" i="1" s="1"/>
  <c r="Q18" i="55643"/>
  <c r="BA9" i="1" s="1"/>
  <c r="BA10" i="1" s="1"/>
  <c r="BA11" i="1" s="1"/>
  <c r="BA12" i="1" s="1"/>
  <c r="BA13" i="1" s="1"/>
  <c r="BA14" i="1" s="1"/>
  <c r="BA15" i="1" s="1"/>
  <c r="BA16" i="1" s="1"/>
  <c r="BA17" i="1" s="1"/>
  <c r="BA18" i="1" s="1"/>
  <c r="BA19" i="1" s="1"/>
  <c r="BA20" i="1" s="1"/>
  <c r="BA21" i="1" s="1"/>
  <c r="BA22" i="1" s="1"/>
  <c r="BA23" i="1" s="1"/>
  <c r="BA24" i="1" s="1"/>
  <c r="BA25" i="1" s="1"/>
  <c r="BA26" i="1" s="1"/>
  <c r="BA27" i="1" s="1"/>
  <c r="BA28" i="1" s="1"/>
  <c r="BA29" i="1" s="1"/>
  <c r="BA30" i="1" s="1"/>
  <c r="BA31" i="1" s="1"/>
  <c r="BA32" i="1" s="1"/>
  <c r="Q19" i="55643"/>
  <c r="BB9" i="1" s="1"/>
  <c r="BB10" i="1" s="1"/>
  <c r="BB11" i="1" s="1"/>
  <c r="BB12" i="1" s="1"/>
  <c r="BB13" i="1" s="1"/>
  <c r="BB14" i="1" s="1"/>
  <c r="BB15" i="1" s="1"/>
  <c r="BB16" i="1" s="1"/>
  <c r="BB17" i="1" s="1"/>
  <c r="BB18" i="1" s="1"/>
  <c r="BB19" i="1" s="1"/>
  <c r="BB20" i="1" s="1"/>
  <c r="BB21" i="1" s="1"/>
  <c r="BB22" i="1" s="1"/>
  <c r="BB23" i="1" s="1"/>
  <c r="BB24" i="1" s="1"/>
  <c r="BB25" i="1" s="1"/>
  <c r="BB26" i="1" s="1"/>
  <c r="BB27" i="1" s="1"/>
  <c r="BB28" i="1" s="1"/>
  <c r="BB29" i="1" s="1"/>
  <c r="BB30" i="1" s="1"/>
  <c r="BB31" i="1" s="1"/>
  <c r="BB32" i="1" s="1"/>
  <c r="Q20" i="55643"/>
  <c r="BC9" i="1" s="1"/>
  <c r="BC10" i="1" s="1"/>
  <c r="BC11" i="1" s="1"/>
  <c r="BC12" i="1" s="1"/>
  <c r="BC13" i="1" s="1"/>
  <c r="BC14" i="1" s="1"/>
  <c r="BC15" i="1" s="1"/>
  <c r="BC16" i="1" s="1"/>
  <c r="BC17" i="1" s="1"/>
  <c r="BC18" i="1" s="1"/>
  <c r="BC19" i="1" s="1"/>
  <c r="BC20" i="1" s="1"/>
  <c r="BC21" i="1" s="1"/>
  <c r="BC22" i="1" s="1"/>
  <c r="BC23" i="1" s="1"/>
  <c r="BC24" i="1" s="1"/>
  <c r="BC25" i="1" s="1"/>
  <c r="BC26" i="1" s="1"/>
  <c r="BC27" i="1" s="1"/>
  <c r="BC28" i="1" s="1"/>
  <c r="BC29" i="1" s="1"/>
  <c r="BC30" i="1" s="1"/>
  <c r="BC31" i="1" s="1"/>
  <c r="BC32" i="1" s="1"/>
  <c r="Q21" i="55643"/>
  <c r="BD9" i="1" s="1"/>
  <c r="BD10" i="1" s="1"/>
  <c r="BD11" i="1" s="1"/>
  <c r="BD12" i="1" s="1"/>
  <c r="BD13" i="1" s="1"/>
  <c r="BD14" i="1" s="1"/>
  <c r="BD15" i="1" s="1"/>
  <c r="BD16" i="1" s="1"/>
  <c r="BD17" i="1" s="1"/>
  <c r="BD18" i="1" s="1"/>
  <c r="BD19" i="1" s="1"/>
  <c r="BD20" i="1" s="1"/>
  <c r="BD21" i="1" s="1"/>
  <c r="BD22" i="1" s="1"/>
  <c r="BD23" i="1" s="1"/>
  <c r="BD24" i="1" s="1"/>
  <c r="BD25" i="1" s="1"/>
  <c r="BD26" i="1" s="1"/>
  <c r="BD27" i="1" s="1"/>
  <c r="BD28" i="1" s="1"/>
  <c r="BD29" i="1" s="1"/>
  <c r="BD30" i="1" s="1"/>
  <c r="BD31" i="1" s="1"/>
  <c r="BD32" i="1" s="1"/>
  <c r="Q22" i="55643"/>
  <c r="BE9" i="1" s="1"/>
  <c r="BE10" i="1" s="1"/>
  <c r="BE11" i="1" s="1"/>
  <c r="BE12" i="1" s="1"/>
  <c r="BE13" i="1" s="1"/>
  <c r="BE14" i="1" s="1"/>
  <c r="BE15" i="1" s="1"/>
  <c r="BE16" i="1" s="1"/>
  <c r="BE17" i="1" s="1"/>
  <c r="BE18" i="1" s="1"/>
  <c r="BE19" i="1" s="1"/>
  <c r="BE20" i="1" s="1"/>
  <c r="BE21" i="1" s="1"/>
  <c r="BE22" i="1" s="1"/>
  <c r="BE23" i="1" s="1"/>
  <c r="BE24" i="1" s="1"/>
  <c r="BE25" i="1" s="1"/>
  <c r="BE26" i="1" s="1"/>
  <c r="BE27" i="1" s="1"/>
  <c r="BE28" i="1" s="1"/>
  <c r="BE29" i="1" s="1"/>
  <c r="BE30" i="1" s="1"/>
  <c r="BE31" i="1" s="1"/>
  <c r="BE32" i="1" s="1"/>
  <c r="Q23" i="55643"/>
  <c r="BF9" i="1" s="1"/>
  <c r="BF10" i="1" s="1"/>
  <c r="BF11" i="1" s="1"/>
  <c r="BF12" i="1" s="1"/>
  <c r="BF13" i="1" s="1"/>
  <c r="BF14" i="1" s="1"/>
  <c r="BF15" i="1" s="1"/>
  <c r="BF16" i="1" s="1"/>
  <c r="BF17" i="1" s="1"/>
  <c r="BF18" i="1" s="1"/>
  <c r="BF19" i="1" s="1"/>
  <c r="BF20" i="1" s="1"/>
  <c r="BF21" i="1" s="1"/>
  <c r="BF22" i="1" s="1"/>
  <c r="BF23" i="1" s="1"/>
  <c r="BF24" i="1" s="1"/>
  <c r="BF25" i="1" s="1"/>
  <c r="BF26" i="1" s="1"/>
  <c r="BF27" i="1" s="1"/>
  <c r="BF28" i="1" s="1"/>
  <c r="BF29" i="1" s="1"/>
  <c r="BF30" i="1" s="1"/>
  <c r="BF31" i="1" s="1"/>
  <c r="BF32" i="1" s="1"/>
  <c r="AO11" i="1"/>
  <c r="AM11" i="1" s="1"/>
  <c r="AN99" i="1"/>
  <c r="AL99" i="1" s="1"/>
  <c r="AO10" i="1"/>
  <c r="AM10" i="1" s="1"/>
  <c r="AO12" i="1"/>
  <c r="AM12" i="1" s="1"/>
  <c r="AO13" i="1"/>
  <c r="AM13" i="1" s="1"/>
  <c r="AO14" i="1"/>
  <c r="AM14" i="1" s="1"/>
  <c r="AO15" i="1"/>
  <c r="AM15" i="1" s="1"/>
  <c r="AO16" i="1"/>
  <c r="AM16" i="1" s="1"/>
  <c r="AO17" i="1"/>
  <c r="AM17" i="1" s="1"/>
  <c r="AO18" i="1"/>
  <c r="AM18" i="1" s="1"/>
  <c r="AO19" i="1"/>
  <c r="AM19" i="1" s="1"/>
  <c r="AO20" i="1"/>
  <c r="AM20" i="1" s="1"/>
  <c r="AO21" i="1"/>
  <c r="AM21" i="1" s="1"/>
  <c r="AO22" i="1"/>
  <c r="AM22" i="1" s="1"/>
  <c r="AO23" i="1"/>
  <c r="AM23" i="1" s="1"/>
  <c r="AO24" i="1"/>
  <c r="AM24" i="1" s="1"/>
  <c r="AO25" i="1"/>
  <c r="AM25" i="1" s="1"/>
  <c r="AO26" i="1"/>
  <c r="AM26" i="1" s="1"/>
  <c r="AO27" i="1"/>
  <c r="AM27" i="1" s="1"/>
  <c r="AO28" i="1"/>
  <c r="AM28" i="1" s="1"/>
  <c r="AO29" i="1"/>
  <c r="AM29" i="1" s="1"/>
  <c r="AO30" i="1"/>
  <c r="AM30" i="1" s="1"/>
  <c r="AO31" i="1"/>
  <c r="AM31" i="1" s="1"/>
  <c r="AO32" i="1"/>
  <c r="AM32" i="1" s="1"/>
  <c r="AO99" i="1"/>
  <c r="AM99" i="1" s="1"/>
  <c r="E5" i="3"/>
  <c r="L8" i="55642"/>
  <c r="M8" i="55642" s="1"/>
  <c r="B14" i="55647"/>
  <c r="C14" i="55647"/>
  <c r="D14" i="55647"/>
  <c r="B15" i="55647"/>
  <c r="B16" i="55647"/>
  <c r="B17" i="55647"/>
  <c r="B18" i="55647"/>
  <c r="B19" i="55647"/>
  <c r="B20" i="55647"/>
  <c r="B21" i="55647"/>
  <c r="B22" i="55647"/>
  <c r="B23" i="55647"/>
  <c r="B24" i="55647"/>
  <c r="B25" i="55647"/>
  <c r="B26" i="55647"/>
  <c r="B27" i="55647"/>
  <c r="B28" i="55647"/>
  <c r="B29" i="55647"/>
  <c r="B30" i="55647"/>
  <c r="B31" i="55647"/>
  <c r="B32" i="55647"/>
  <c r="B33" i="55647"/>
  <c r="B34" i="55647"/>
  <c r="B35" i="55647"/>
  <c r="B36" i="55647"/>
  <c r="B37" i="55647"/>
  <c r="B38" i="55647"/>
  <c r="AN12" i="1"/>
  <c r="C85" i="55647" l="1"/>
  <c r="C89" i="55649"/>
  <c r="C90" i="55649"/>
  <c r="C86" i="55647"/>
  <c r="C96" i="55641"/>
  <c r="AP97" i="55641"/>
  <c r="AM97" i="55641" s="1"/>
  <c r="BN9" i="55641"/>
  <c r="BE99" i="1"/>
  <c r="BE33" i="1"/>
  <c r="BE34" i="1" s="1"/>
  <c r="BE35" i="1" s="1"/>
  <c r="BE36" i="1" s="1"/>
  <c r="BE37" i="1" s="1"/>
  <c r="BE38" i="1" s="1"/>
  <c r="BE39" i="1" s="1"/>
  <c r="BE40" i="1" s="1"/>
  <c r="BE41" i="1" s="1"/>
  <c r="BE42" i="1" s="1"/>
  <c r="BE43" i="1" s="1"/>
  <c r="BE44" i="1" s="1"/>
  <c r="BE45" i="1" s="1"/>
  <c r="BE46" i="1" s="1"/>
  <c r="BE47" i="1" s="1"/>
  <c r="BE48" i="1" s="1"/>
  <c r="BE49" i="1" s="1"/>
  <c r="BE50" i="1" s="1"/>
  <c r="BE51" i="1" s="1"/>
  <c r="BE52" i="1" s="1"/>
  <c r="BE53" i="1" s="1"/>
  <c r="BE54" i="1" s="1"/>
  <c r="BE55" i="1" s="1"/>
  <c r="BE56" i="1" s="1"/>
  <c r="BE57" i="1" s="1"/>
  <c r="BE58" i="1" s="1"/>
  <c r="BE59" i="1" s="1"/>
  <c r="BE60" i="1" s="1"/>
  <c r="BE61" i="1" s="1"/>
  <c r="BE62" i="1" s="1"/>
  <c r="BE63" i="1" s="1"/>
  <c r="BE64" i="1" s="1"/>
  <c r="BE65" i="1" s="1"/>
  <c r="BE66" i="1" s="1"/>
  <c r="BE67" i="1" s="1"/>
  <c r="BE68" i="1" s="1"/>
  <c r="BE69" i="1" s="1"/>
  <c r="BE70" i="1" s="1"/>
  <c r="BE71" i="1" s="1"/>
  <c r="BE72" i="1" s="1"/>
  <c r="BE73" i="1" s="1"/>
  <c r="BE74" i="1" s="1"/>
  <c r="BE75" i="1" s="1"/>
  <c r="BE76" i="1" s="1"/>
  <c r="BE77" i="1" s="1"/>
  <c r="BE78" i="1" s="1"/>
  <c r="BE79" i="1" s="1"/>
  <c r="BE80" i="1" s="1"/>
  <c r="BE81" i="1" s="1"/>
  <c r="BE82" i="1" s="1"/>
  <c r="BE83" i="1" s="1"/>
  <c r="BE84" i="1" s="1"/>
  <c r="BE85" i="1" s="1"/>
  <c r="BE86" i="1" s="1"/>
  <c r="BE87" i="1" s="1"/>
  <c r="BE88" i="1" s="1"/>
  <c r="BE89" i="1" s="1"/>
  <c r="BE90" i="1" s="1"/>
  <c r="BE91" i="1" s="1"/>
  <c r="BE92" i="1" s="1"/>
  <c r="BE93" i="1" s="1"/>
  <c r="BE94" i="1" s="1"/>
  <c r="BE95" i="1" s="1"/>
  <c r="BE96" i="1" s="1"/>
  <c r="BE97" i="1" s="1"/>
  <c r="BE98" i="1" s="1"/>
  <c r="BB99" i="1"/>
  <c r="BB33" i="1"/>
  <c r="BB34" i="1" s="1"/>
  <c r="BB35" i="1" s="1"/>
  <c r="BB36" i="1" s="1"/>
  <c r="BB37" i="1" s="1"/>
  <c r="BB38" i="1" s="1"/>
  <c r="BB39" i="1" s="1"/>
  <c r="BB40" i="1" s="1"/>
  <c r="BB41" i="1" s="1"/>
  <c r="BB42" i="1" s="1"/>
  <c r="BB43" i="1" s="1"/>
  <c r="BB44" i="1" s="1"/>
  <c r="BB45" i="1" s="1"/>
  <c r="BB46" i="1" s="1"/>
  <c r="BB47" i="1" s="1"/>
  <c r="BB48" i="1" s="1"/>
  <c r="BB49" i="1" s="1"/>
  <c r="BB50" i="1" s="1"/>
  <c r="BB51" i="1" s="1"/>
  <c r="BB52" i="1" s="1"/>
  <c r="BB53" i="1" s="1"/>
  <c r="BB54" i="1" s="1"/>
  <c r="BB55" i="1" s="1"/>
  <c r="BB56" i="1" s="1"/>
  <c r="BB57" i="1" s="1"/>
  <c r="BB58" i="1" s="1"/>
  <c r="BB59" i="1" s="1"/>
  <c r="BB60" i="1" s="1"/>
  <c r="BB61" i="1" s="1"/>
  <c r="BB62" i="1" s="1"/>
  <c r="BB63" i="1" s="1"/>
  <c r="BB64" i="1" s="1"/>
  <c r="BB65" i="1" s="1"/>
  <c r="BB66" i="1" s="1"/>
  <c r="BB67" i="1" s="1"/>
  <c r="BB68" i="1" s="1"/>
  <c r="BB69" i="1" s="1"/>
  <c r="BB70" i="1" s="1"/>
  <c r="BB71" i="1" s="1"/>
  <c r="BB72" i="1" s="1"/>
  <c r="BB73" i="1" s="1"/>
  <c r="BB74" i="1" s="1"/>
  <c r="BB75" i="1" s="1"/>
  <c r="BB76" i="1" s="1"/>
  <c r="BB77" i="1" s="1"/>
  <c r="BB78" i="1" s="1"/>
  <c r="BB79" i="1" s="1"/>
  <c r="BB80" i="1" s="1"/>
  <c r="BB81" i="1" s="1"/>
  <c r="BB82" i="1" s="1"/>
  <c r="BB83" i="1" s="1"/>
  <c r="BB84" i="1" s="1"/>
  <c r="BB85" i="1" s="1"/>
  <c r="BB86" i="1" s="1"/>
  <c r="BB87" i="1" s="1"/>
  <c r="BB88" i="1" s="1"/>
  <c r="BB89" i="1" s="1"/>
  <c r="BB90" i="1" s="1"/>
  <c r="BB91" i="1" s="1"/>
  <c r="BB92" i="1" s="1"/>
  <c r="BB93" i="1" s="1"/>
  <c r="BB94" i="1" s="1"/>
  <c r="BB95" i="1" s="1"/>
  <c r="BB96" i="1" s="1"/>
  <c r="BB97" i="1" s="1"/>
  <c r="BB98" i="1" s="1"/>
  <c r="BD99" i="1"/>
  <c r="BD33" i="1"/>
  <c r="BD34" i="1" s="1"/>
  <c r="BD35" i="1" s="1"/>
  <c r="BD36" i="1" s="1"/>
  <c r="BD37" i="1" s="1"/>
  <c r="BD38" i="1" s="1"/>
  <c r="BD39" i="1" s="1"/>
  <c r="BD40" i="1" s="1"/>
  <c r="BD41" i="1" s="1"/>
  <c r="BD42" i="1" s="1"/>
  <c r="BD43" i="1" s="1"/>
  <c r="BD44" i="1" s="1"/>
  <c r="BD45" i="1" s="1"/>
  <c r="BD46" i="1" s="1"/>
  <c r="BD47" i="1" s="1"/>
  <c r="BD48" i="1" s="1"/>
  <c r="BD49" i="1" s="1"/>
  <c r="BD50" i="1" s="1"/>
  <c r="BD51" i="1" s="1"/>
  <c r="BD52" i="1" s="1"/>
  <c r="BD53" i="1" s="1"/>
  <c r="BD54" i="1" s="1"/>
  <c r="BD55" i="1" s="1"/>
  <c r="BD56" i="1" s="1"/>
  <c r="BD57" i="1" s="1"/>
  <c r="BD58" i="1" s="1"/>
  <c r="BD59" i="1" s="1"/>
  <c r="BD60" i="1" s="1"/>
  <c r="BD61" i="1" s="1"/>
  <c r="BD62" i="1" s="1"/>
  <c r="BD63" i="1" s="1"/>
  <c r="BD64" i="1" s="1"/>
  <c r="BD65" i="1" s="1"/>
  <c r="BD66" i="1" s="1"/>
  <c r="BD67" i="1" s="1"/>
  <c r="BD68" i="1" s="1"/>
  <c r="BD69" i="1" s="1"/>
  <c r="BD70" i="1" s="1"/>
  <c r="BD71" i="1" s="1"/>
  <c r="BD72" i="1" s="1"/>
  <c r="BD73" i="1" s="1"/>
  <c r="BD74" i="1" s="1"/>
  <c r="BD75" i="1" s="1"/>
  <c r="BD76" i="1" s="1"/>
  <c r="BD77" i="1" s="1"/>
  <c r="BD78" i="1" s="1"/>
  <c r="BD79" i="1" s="1"/>
  <c r="BD80" i="1" s="1"/>
  <c r="BD81" i="1" s="1"/>
  <c r="BD82" i="1" s="1"/>
  <c r="BD83" i="1" s="1"/>
  <c r="BD84" i="1" s="1"/>
  <c r="BD85" i="1" s="1"/>
  <c r="BD86" i="1" s="1"/>
  <c r="BD87" i="1" s="1"/>
  <c r="BD88" i="1" s="1"/>
  <c r="BD89" i="1" s="1"/>
  <c r="BD90" i="1" s="1"/>
  <c r="BD91" i="1" s="1"/>
  <c r="BD92" i="1" s="1"/>
  <c r="BD93" i="1" s="1"/>
  <c r="BD94" i="1" s="1"/>
  <c r="BD95" i="1" s="1"/>
  <c r="BD96" i="1" s="1"/>
  <c r="BD97" i="1" s="1"/>
  <c r="BD98" i="1" s="1"/>
  <c r="BC99" i="1"/>
  <c r="BC33" i="1"/>
  <c r="BC34" i="1" s="1"/>
  <c r="BC35" i="1" s="1"/>
  <c r="BC36" i="1" s="1"/>
  <c r="BC37" i="1" s="1"/>
  <c r="BC38" i="1" s="1"/>
  <c r="BC39" i="1" s="1"/>
  <c r="BC40" i="1" s="1"/>
  <c r="BC41" i="1" s="1"/>
  <c r="BC42" i="1" s="1"/>
  <c r="BC43" i="1" s="1"/>
  <c r="BC44" i="1" s="1"/>
  <c r="BC45" i="1" s="1"/>
  <c r="BC46" i="1" s="1"/>
  <c r="BC47" i="1" s="1"/>
  <c r="BC48" i="1" s="1"/>
  <c r="BC49" i="1" s="1"/>
  <c r="BC50" i="1" s="1"/>
  <c r="BC51" i="1" s="1"/>
  <c r="BC52" i="1" s="1"/>
  <c r="BC53" i="1" s="1"/>
  <c r="BC54" i="1" s="1"/>
  <c r="BC55" i="1" s="1"/>
  <c r="BC56" i="1" s="1"/>
  <c r="BC57" i="1" s="1"/>
  <c r="BC58" i="1" s="1"/>
  <c r="BC59" i="1" s="1"/>
  <c r="BC60" i="1" s="1"/>
  <c r="BC61" i="1" s="1"/>
  <c r="BC62" i="1" s="1"/>
  <c r="BC63" i="1" s="1"/>
  <c r="BC64" i="1" s="1"/>
  <c r="BC65" i="1" s="1"/>
  <c r="BC66" i="1" s="1"/>
  <c r="BC67" i="1" s="1"/>
  <c r="BC68" i="1" s="1"/>
  <c r="BC69" i="1" s="1"/>
  <c r="BC70" i="1" s="1"/>
  <c r="BC71" i="1" s="1"/>
  <c r="BC72" i="1" s="1"/>
  <c r="BC73" i="1" s="1"/>
  <c r="BC74" i="1" s="1"/>
  <c r="BC75" i="1" s="1"/>
  <c r="BC76" i="1" s="1"/>
  <c r="BC77" i="1" s="1"/>
  <c r="BC78" i="1" s="1"/>
  <c r="BC79" i="1" s="1"/>
  <c r="BC80" i="1" s="1"/>
  <c r="BC81" i="1" s="1"/>
  <c r="BC82" i="1" s="1"/>
  <c r="BC83" i="1" s="1"/>
  <c r="BC84" i="1" s="1"/>
  <c r="BC85" i="1" s="1"/>
  <c r="BC86" i="1" s="1"/>
  <c r="BC87" i="1" s="1"/>
  <c r="BC88" i="1" s="1"/>
  <c r="BC89" i="1" s="1"/>
  <c r="BC90" i="1" s="1"/>
  <c r="BC91" i="1" s="1"/>
  <c r="BC92" i="1" s="1"/>
  <c r="BC93" i="1" s="1"/>
  <c r="BC94" i="1" s="1"/>
  <c r="BC95" i="1" s="1"/>
  <c r="BC96" i="1" s="1"/>
  <c r="BC97" i="1" s="1"/>
  <c r="BC98" i="1" s="1"/>
  <c r="BA99" i="1"/>
  <c r="BA33" i="1"/>
  <c r="BA34" i="1" s="1"/>
  <c r="BA35" i="1" s="1"/>
  <c r="BA36" i="1" s="1"/>
  <c r="BA37" i="1" s="1"/>
  <c r="BA38" i="1" s="1"/>
  <c r="BA39" i="1" s="1"/>
  <c r="BA40" i="1" s="1"/>
  <c r="BA41" i="1" s="1"/>
  <c r="BA42" i="1" s="1"/>
  <c r="BA43" i="1" s="1"/>
  <c r="BA44" i="1" s="1"/>
  <c r="BA45" i="1" s="1"/>
  <c r="BA46" i="1" s="1"/>
  <c r="BA47" i="1" s="1"/>
  <c r="BA48" i="1" s="1"/>
  <c r="BA49" i="1" s="1"/>
  <c r="BA50" i="1" s="1"/>
  <c r="BA51" i="1" s="1"/>
  <c r="BA52" i="1" s="1"/>
  <c r="BA53" i="1" s="1"/>
  <c r="BA54" i="1" s="1"/>
  <c r="BA55" i="1" s="1"/>
  <c r="BA56" i="1" s="1"/>
  <c r="BA57" i="1" s="1"/>
  <c r="BA58" i="1" s="1"/>
  <c r="BA59" i="1" s="1"/>
  <c r="BA60" i="1" s="1"/>
  <c r="BA61" i="1" s="1"/>
  <c r="BA62" i="1" s="1"/>
  <c r="BA63" i="1" s="1"/>
  <c r="BA64" i="1" s="1"/>
  <c r="BA65" i="1" s="1"/>
  <c r="BA66" i="1" s="1"/>
  <c r="BA67" i="1" s="1"/>
  <c r="BA68" i="1" s="1"/>
  <c r="BA69" i="1" s="1"/>
  <c r="BA70" i="1" s="1"/>
  <c r="BA71" i="1" s="1"/>
  <c r="BA72" i="1" s="1"/>
  <c r="BA73" i="1" s="1"/>
  <c r="BA74" i="1" s="1"/>
  <c r="BA75" i="1" s="1"/>
  <c r="BA76" i="1" s="1"/>
  <c r="BA77" i="1" s="1"/>
  <c r="BA78" i="1" s="1"/>
  <c r="BA79" i="1" s="1"/>
  <c r="BA80" i="1" s="1"/>
  <c r="BA81" i="1" s="1"/>
  <c r="BA82" i="1" s="1"/>
  <c r="BA83" i="1" s="1"/>
  <c r="BA84" i="1" s="1"/>
  <c r="BA85" i="1" s="1"/>
  <c r="BA86" i="1" s="1"/>
  <c r="BA87" i="1" s="1"/>
  <c r="BA88" i="1" s="1"/>
  <c r="BA89" i="1" s="1"/>
  <c r="BA90" i="1" s="1"/>
  <c r="BA91" i="1" s="1"/>
  <c r="BA92" i="1" s="1"/>
  <c r="BA93" i="1" s="1"/>
  <c r="BA94" i="1" s="1"/>
  <c r="BA95" i="1" s="1"/>
  <c r="BA96" i="1" s="1"/>
  <c r="BA97" i="1" s="1"/>
  <c r="BA98" i="1" s="1"/>
  <c r="AZ99" i="1"/>
  <c r="AZ33" i="1"/>
  <c r="AZ34" i="1" s="1"/>
  <c r="AZ35" i="1" s="1"/>
  <c r="AZ36" i="1" s="1"/>
  <c r="AZ37" i="1" s="1"/>
  <c r="AZ38" i="1" s="1"/>
  <c r="AZ39" i="1" s="1"/>
  <c r="AZ40" i="1" s="1"/>
  <c r="AZ41" i="1" s="1"/>
  <c r="AZ42" i="1" s="1"/>
  <c r="AZ43" i="1" s="1"/>
  <c r="AZ44" i="1" s="1"/>
  <c r="AZ45" i="1" s="1"/>
  <c r="AZ46" i="1" s="1"/>
  <c r="AZ47" i="1" s="1"/>
  <c r="AZ48" i="1" s="1"/>
  <c r="AZ49" i="1" s="1"/>
  <c r="AZ50" i="1" s="1"/>
  <c r="AZ51" i="1" s="1"/>
  <c r="AZ52" i="1" s="1"/>
  <c r="AZ53" i="1" s="1"/>
  <c r="AZ54" i="1" s="1"/>
  <c r="AZ55" i="1" s="1"/>
  <c r="AZ56" i="1" s="1"/>
  <c r="AZ57" i="1" s="1"/>
  <c r="AZ58" i="1" s="1"/>
  <c r="AZ59" i="1" s="1"/>
  <c r="AZ60" i="1" s="1"/>
  <c r="AZ61" i="1" s="1"/>
  <c r="AZ62" i="1" s="1"/>
  <c r="AZ63" i="1" s="1"/>
  <c r="AZ64" i="1" s="1"/>
  <c r="AZ65" i="1" s="1"/>
  <c r="AZ66" i="1" s="1"/>
  <c r="AZ67" i="1" s="1"/>
  <c r="AZ68" i="1" s="1"/>
  <c r="AZ69" i="1" s="1"/>
  <c r="AZ70" i="1" s="1"/>
  <c r="AZ71" i="1" s="1"/>
  <c r="AZ72" i="1" s="1"/>
  <c r="AZ73" i="1" s="1"/>
  <c r="AZ74" i="1" s="1"/>
  <c r="AZ75" i="1" s="1"/>
  <c r="AZ76" i="1" s="1"/>
  <c r="AZ77" i="1" s="1"/>
  <c r="AZ78" i="1" s="1"/>
  <c r="AZ79" i="1" s="1"/>
  <c r="AZ80" i="1" s="1"/>
  <c r="AZ81" i="1" s="1"/>
  <c r="AZ82" i="1" s="1"/>
  <c r="AZ83" i="1" s="1"/>
  <c r="AZ84" i="1" s="1"/>
  <c r="AZ85" i="1" s="1"/>
  <c r="AZ86" i="1" s="1"/>
  <c r="AZ87" i="1" s="1"/>
  <c r="AZ88" i="1" s="1"/>
  <c r="AZ89" i="1" s="1"/>
  <c r="AZ90" i="1" s="1"/>
  <c r="AZ91" i="1" s="1"/>
  <c r="AZ92" i="1" s="1"/>
  <c r="AZ93" i="1" s="1"/>
  <c r="AZ94" i="1" s="1"/>
  <c r="AZ95" i="1" s="1"/>
  <c r="AZ96" i="1" s="1"/>
  <c r="AZ97" i="1" s="1"/>
  <c r="AZ98" i="1" s="1"/>
  <c r="BF99" i="1"/>
  <c r="BF33" i="1"/>
  <c r="BF34" i="1" s="1"/>
  <c r="BF35" i="1" s="1"/>
  <c r="BF36" i="1" s="1"/>
  <c r="BF37" i="1" s="1"/>
  <c r="BF38" i="1" s="1"/>
  <c r="BF39" i="1" s="1"/>
  <c r="BF40" i="1" s="1"/>
  <c r="BF41" i="1" s="1"/>
  <c r="BF42" i="1" s="1"/>
  <c r="BF43" i="1" s="1"/>
  <c r="BF44" i="1" s="1"/>
  <c r="BF45" i="1" s="1"/>
  <c r="BF46" i="1" s="1"/>
  <c r="BF47" i="1" s="1"/>
  <c r="BF48" i="1" s="1"/>
  <c r="BF49" i="1" s="1"/>
  <c r="BF50" i="1" s="1"/>
  <c r="BF51" i="1" s="1"/>
  <c r="BF52" i="1" s="1"/>
  <c r="BF53" i="1" s="1"/>
  <c r="BF54" i="1" s="1"/>
  <c r="BF55" i="1" s="1"/>
  <c r="BF56" i="1" s="1"/>
  <c r="BF57" i="1" s="1"/>
  <c r="BF58" i="1" s="1"/>
  <c r="BF59" i="1" s="1"/>
  <c r="BF60" i="1" s="1"/>
  <c r="BF61" i="1" s="1"/>
  <c r="BF62" i="1" s="1"/>
  <c r="BF63" i="1" s="1"/>
  <c r="BF64" i="1" s="1"/>
  <c r="BF65" i="1" s="1"/>
  <c r="BF66" i="1" s="1"/>
  <c r="BF67" i="1" s="1"/>
  <c r="BF68" i="1" s="1"/>
  <c r="BF69" i="1" s="1"/>
  <c r="BF70" i="1" s="1"/>
  <c r="BF71" i="1" s="1"/>
  <c r="BF72" i="1" s="1"/>
  <c r="BF73" i="1" s="1"/>
  <c r="BF74" i="1" s="1"/>
  <c r="BF75" i="1" s="1"/>
  <c r="BF76" i="1" s="1"/>
  <c r="BF77" i="1" s="1"/>
  <c r="BF78" i="1" s="1"/>
  <c r="BF79" i="1" s="1"/>
  <c r="BF80" i="1" s="1"/>
  <c r="BF81" i="1" s="1"/>
  <c r="BF82" i="1" s="1"/>
  <c r="BF83" i="1" s="1"/>
  <c r="BF84" i="1" s="1"/>
  <c r="BF85" i="1" s="1"/>
  <c r="BF86" i="1" s="1"/>
  <c r="BF87" i="1" s="1"/>
  <c r="BF88" i="1" s="1"/>
  <c r="BF89" i="1" s="1"/>
  <c r="BF90" i="1" s="1"/>
  <c r="BF91" i="1" s="1"/>
  <c r="BF92" i="1" s="1"/>
  <c r="BF93" i="1" s="1"/>
  <c r="BF94" i="1" s="1"/>
  <c r="BF95" i="1" s="1"/>
  <c r="BF96" i="1" s="1"/>
  <c r="BF97" i="1" s="1"/>
  <c r="BF98" i="1" s="1"/>
  <c r="C95" i="1"/>
  <c r="AQ96" i="1"/>
  <c r="AN96" i="1" s="1"/>
  <c r="X7" i="55643"/>
  <c r="Q7" i="55643" s="1"/>
  <c r="AU9" i="1" s="1"/>
  <c r="AU10" i="1" s="1"/>
  <c r="AU11" i="1" s="1"/>
  <c r="AU12" i="1" s="1"/>
  <c r="AU13" i="1" s="1"/>
  <c r="AU14" i="1" s="1"/>
  <c r="AU15" i="1" s="1"/>
  <c r="AU16" i="1" s="1"/>
  <c r="AU17" i="1" s="1"/>
  <c r="AU18" i="1" s="1"/>
  <c r="AU19" i="1" s="1"/>
  <c r="AU20" i="1" s="1"/>
  <c r="AU21" i="1" s="1"/>
  <c r="AU22" i="1" s="1"/>
  <c r="AU23" i="1" s="1"/>
  <c r="AU24" i="1" s="1"/>
  <c r="AU25" i="1" s="1"/>
  <c r="AU26" i="1" s="1"/>
  <c r="AU27" i="1" s="1"/>
  <c r="AU28" i="1" s="1"/>
  <c r="AU29" i="1" s="1"/>
  <c r="AU30" i="1" s="1"/>
  <c r="AU31" i="1" s="1"/>
  <c r="AU32" i="1" s="1"/>
  <c r="AQ99" i="1"/>
  <c r="BN19" i="1"/>
  <c r="BN11" i="1"/>
  <c r="BN12" i="1"/>
  <c r="M7" i="55642"/>
  <c r="BN30" i="1"/>
  <c r="X9" i="55644"/>
  <c r="Q9" i="55644" s="1"/>
  <c r="AV9" i="55641" s="1"/>
  <c r="AV10" i="55641" s="1"/>
  <c r="AV11" i="55641" s="1"/>
  <c r="AV12" i="55641" s="1"/>
  <c r="AV13" i="55641" s="1"/>
  <c r="AV14" i="55641" s="1"/>
  <c r="AV15" i="55641" s="1"/>
  <c r="AV16" i="55641" s="1"/>
  <c r="AV17" i="55641" s="1"/>
  <c r="AV18" i="55641" s="1"/>
  <c r="AV19" i="55641" s="1"/>
  <c r="AV20" i="55641" s="1"/>
  <c r="AV21" i="55641" s="1"/>
  <c r="AV22" i="55641" s="1"/>
  <c r="AV23" i="55641" s="1"/>
  <c r="AV24" i="55641" s="1"/>
  <c r="AV25" i="55641" s="1"/>
  <c r="AV26" i="55641" s="1"/>
  <c r="AV27" i="55641" s="1"/>
  <c r="AV28" i="55641" s="1"/>
  <c r="AV29" i="55641" s="1"/>
  <c r="AV30" i="55641" s="1"/>
  <c r="AV31" i="55641" s="1"/>
  <c r="AV32" i="55641" s="1"/>
  <c r="AV33" i="55641" s="1"/>
  <c r="AV34" i="55641" s="1"/>
  <c r="AV35" i="55641" s="1"/>
  <c r="AV36" i="55641" s="1"/>
  <c r="AV37" i="55641" s="1"/>
  <c r="AV38" i="55641" s="1"/>
  <c r="AV39" i="55641" s="1"/>
  <c r="AV40" i="55641" s="1"/>
  <c r="AV41" i="55641" s="1"/>
  <c r="AV42" i="55641" s="1"/>
  <c r="AV43" i="55641" s="1"/>
  <c r="AV44" i="55641" s="1"/>
  <c r="AV45" i="55641" s="1"/>
  <c r="AV46" i="55641" s="1"/>
  <c r="AV47" i="55641" s="1"/>
  <c r="AV48" i="55641" s="1"/>
  <c r="AV49" i="55641" s="1"/>
  <c r="AV50" i="55641" s="1"/>
  <c r="AV51" i="55641" s="1"/>
  <c r="AV52" i="55641" s="1"/>
  <c r="AV53" i="55641" s="1"/>
  <c r="AV54" i="55641" s="1"/>
  <c r="AV55" i="55641" s="1"/>
  <c r="AV56" i="55641" s="1"/>
  <c r="AV57" i="55641" s="1"/>
  <c r="AV58" i="55641" s="1"/>
  <c r="AV59" i="55641" s="1"/>
  <c r="AV60" i="55641" s="1"/>
  <c r="AV61" i="55641" s="1"/>
  <c r="AV62" i="55641" s="1"/>
  <c r="AV63" i="55641" s="1"/>
  <c r="AV64" i="55641" s="1"/>
  <c r="AV65" i="55641" s="1"/>
  <c r="AV66" i="55641" s="1"/>
  <c r="AV67" i="55641" s="1"/>
  <c r="AV68" i="55641" s="1"/>
  <c r="AV69" i="55641" s="1"/>
  <c r="AV70" i="55641" s="1"/>
  <c r="AV71" i="55641" s="1"/>
  <c r="AV72" i="55641" s="1"/>
  <c r="AV73" i="55641" s="1"/>
  <c r="AV74" i="55641" s="1"/>
  <c r="AV75" i="55641" s="1"/>
  <c r="AV76" i="55641" s="1"/>
  <c r="AV77" i="55641" s="1"/>
  <c r="AV78" i="55641" s="1"/>
  <c r="AV79" i="55641" s="1"/>
  <c r="AV80" i="55641" s="1"/>
  <c r="AV81" i="55641" s="1"/>
  <c r="AV82" i="55641" s="1"/>
  <c r="AV83" i="55641" s="1"/>
  <c r="AV84" i="55641" s="1"/>
  <c r="AV85" i="55641" s="1"/>
  <c r="AV86" i="55641" s="1"/>
  <c r="AV87" i="55641" s="1"/>
  <c r="AV88" i="55641" s="1"/>
  <c r="AV89" i="55641" s="1"/>
  <c r="AV90" i="55641" s="1"/>
  <c r="AV91" i="55641" s="1"/>
  <c r="AV92" i="55641" s="1"/>
  <c r="AV93" i="55641" s="1"/>
  <c r="AV94" i="55641" s="1"/>
  <c r="AV95" i="55641" s="1"/>
  <c r="AV96" i="55641" s="1"/>
  <c r="AV97" i="55641" s="1"/>
  <c r="AV98" i="55641" s="1"/>
  <c r="X6" i="55644"/>
  <c r="Q6" i="55644" s="1"/>
  <c r="AS9" i="55641" s="1"/>
  <c r="AS10" i="55641" s="1"/>
  <c r="AS11" i="55641" s="1"/>
  <c r="AS12" i="55641" s="1"/>
  <c r="AS13" i="55641" s="1"/>
  <c r="AS14" i="55641" s="1"/>
  <c r="AS15" i="55641" s="1"/>
  <c r="AS16" i="55641" s="1"/>
  <c r="AS17" i="55641" s="1"/>
  <c r="AS18" i="55641" s="1"/>
  <c r="AS19" i="55641" s="1"/>
  <c r="AS20" i="55641" s="1"/>
  <c r="AS21" i="55641" s="1"/>
  <c r="AS22" i="55641" s="1"/>
  <c r="AS23" i="55641" s="1"/>
  <c r="AS24" i="55641" s="1"/>
  <c r="AS25" i="55641" s="1"/>
  <c r="AS26" i="55641" s="1"/>
  <c r="AS27" i="55641" s="1"/>
  <c r="AS28" i="55641" s="1"/>
  <c r="AS29" i="55641" s="1"/>
  <c r="AS30" i="55641" s="1"/>
  <c r="AS31" i="55641" s="1"/>
  <c r="AS32" i="55641" s="1"/>
  <c r="AS33" i="55641" s="1"/>
  <c r="AS34" i="55641" s="1"/>
  <c r="AS35" i="55641" s="1"/>
  <c r="AS36" i="55641" s="1"/>
  <c r="AS37" i="55641" s="1"/>
  <c r="AS38" i="55641" s="1"/>
  <c r="AS39" i="55641" s="1"/>
  <c r="AS40" i="55641" s="1"/>
  <c r="AS41" i="55641" s="1"/>
  <c r="AS42" i="55641" s="1"/>
  <c r="AS43" i="55641" s="1"/>
  <c r="AS44" i="55641" s="1"/>
  <c r="AS45" i="55641" s="1"/>
  <c r="AS46" i="55641" s="1"/>
  <c r="AS47" i="55641" s="1"/>
  <c r="AS48" i="55641" s="1"/>
  <c r="AS49" i="55641" s="1"/>
  <c r="AS50" i="55641" s="1"/>
  <c r="AS51" i="55641" s="1"/>
  <c r="AS52" i="55641" s="1"/>
  <c r="AS53" i="55641" s="1"/>
  <c r="AS54" i="55641" s="1"/>
  <c r="AS55" i="55641" s="1"/>
  <c r="AS56" i="55641" s="1"/>
  <c r="AS57" i="55641" s="1"/>
  <c r="AS58" i="55641" s="1"/>
  <c r="AS59" i="55641" s="1"/>
  <c r="AS60" i="55641" s="1"/>
  <c r="AS61" i="55641" s="1"/>
  <c r="AS62" i="55641" s="1"/>
  <c r="AS63" i="55641" s="1"/>
  <c r="AS64" i="55641" s="1"/>
  <c r="AS65" i="55641" s="1"/>
  <c r="AS66" i="55641" s="1"/>
  <c r="AS67" i="55641" s="1"/>
  <c r="AS68" i="55641" s="1"/>
  <c r="AS69" i="55641" s="1"/>
  <c r="AS70" i="55641" s="1"/>
  <c r="AS71" i="55641" s="1"/>
  <c r="AS72" i="55641" s="1"/>
  <c r="AS73" i="55641" s="1"/>
  <c r="AS74" i="55641" s="1"/>
  <c r="AS75" i="55641" s="1"/>
  <c r="AS76" i="55641" s="1"/>
  <c r="AS77" i="55641" s="1"/>
  <c r="AS78" i="55641" s="1"/>
  <c r="AS79" i="55641" s="1"/>
  <c r="AS80" i="55641" s="1"/>
  <c r="AS81" i="55641" s="1"/>
  <c r="AS82" i="55641" s="1"/>
  <c r="AS83" i="55641" s="1"/>
  <c r="AS84" i="55641" s="1"/>
  <c r="AS85" i="55641" s="1"/>
  <c r="AS86" i="55641" s="1"/>
  <c r="AS87" i="55641" s="1"/>
  <c r="AS88" i="55641" s="1"/>
  <c r="AS89" i="55641" s="1"/>
  <c r="AS90" i="55641" s="1"/>
  <c r="AS91" i="55641" s="1"/>
  <c r="AS92" i="55641" s="1"/>
  <c r="AS93" i="55641" s="1"/>
  <c r="AS94" i="55641" s="1"/>
  <c r="AS95" i="55641" s="1"/>
  <c r="AS96" i="55641" s="1"/>
  <c r="AS97" i="55641" s="1"/>
  <c r="AS98" i="55641" s="1"/>
  <c r="BN29" i="1"/>
  <c r="BN13" i="1"/>
  <c r="BN25" i="1"/>
  <c r="BN17" i="1"/>
  <c r="X10" i="55644"/>
  <c r="Q10" i="55644" s="1"/>
  <c r="AW9" i="55641" s="1"/>
  <c r="AW10" i="55641" s="1"/>
  <c r="AW11" i="55641" s="1"/>
  <c r="AW12" i="55641" s="1"/>
  <c r="AW13" i="55641" s="1"/>
  <c r="AW14" i="55641" s="1"/>
  <c r="AW15" i="55641" s="1"/>
  <c r="AW16" i="55641" s="1"/>
  <c r="AW17" i="55641" s="1"/>
  <c r="AW18" i="55641" s="1"/>
  <c r="AW19" i="55641" s="1"/>
  <c r="AW20" i="55641" s="1"/>
  <c r="AW21" i="55641" s="1"/>
  <c r="AW22" i="55641" s="1"/>
  <c r="AW23" i="55641" s="1"/>
  <c r="AW24" i="55641" s="1"/>
  <c r="AW25" i="55641" s="1"/>
  <c r="AW26" i="55641" s="1"/>
  <c r="AW27" i="55641" s="1"/>
  <c r="AW28" i="55641" s="1"/>
  <c r="AW29" i="55641" s="1"/>
  <c r="AW30" i="55641" s="1"/>
  <c r="AW31" i="55641" s="1"/>
  <c r="AW32" i="55641" s="1"/>
  <c r="AW33" i="55641" s="1"/>
  <c r="AW34" i="55641" s="1"/>
  <c r="AW35" i="55641" s="1"/>
  <c r="AW36" i="55641" s="1"/>
  <c r="AW37" i="55641" s="1"/>
  <c r="AW38" i="55641" s="1"/>
  <c r="AW39" i="55641" s="1"/>
  <c r="AW40" i="55641" s="1"/>
  <c r="AW41" i="55641" s="1"/>
  <c r="AW42" i="55641" s="1"/>
  <c r="AW43" i="55641" s="1"/>
  <c r="AW44" i="55641" s="1"/>
  <c r="AW45" i="55641" s="1"/>
  <c r="AW46" i="55641" s="1"/>
  <c r="AW47" i="55641" s="1"/>
  <c r="AW48" i="55641" s="1"/>
  <c r="AW49" i="55641" s="1"/>
  <c r="AW50" i="55641" s="1"/>
  <c r="AW51" i="55641" s="1"/>
  <c r="AW52" i="55641" s="1"/>
  <c r="AW53" i="55641" s="1"/>
  <c r="AW54" i="55641" s="1"/>
  <c r="AW55" i="55641" s="1"/>
  <c r="AW56" i="55641" s="1"/>
  <c r="AW57" i="55641" s="1"/>
  <c r="AW58" i="55641" s="1"/>
  <c r="AW59" i="55641" s="1"/>
  <c r="AW60" i="55641" s="1"/>
  <c r="AW61" i="55641" s="1"/>
  <c r="AW62" i="55641" s="1"/>
  <c r="AW63" i="55641" s="1"/>
  <c r="AW64" i="55641" s="1"/>
  <c r="AW65" i="55641" s="1"/>
  <c r="AW66" i="55641" s="1"/>
  <c r="AW67" i="55641" s="1"/>
  <c r="AW68" i="55641" s="1"/>
  <c r="AW69" i="55641" s="1"/>
  <c r="AW70" i="55641" s="1"/>
  <c r="AW71" i="55641" s="1"/>
  <c r="AW72" i="55641" s="1"/>
  <c r="AW73" i="55641" s="1"/>
  <c r="AW74" i="55641" s="1"/>
  <c r="AW75" i="55641" s="1"/>
  <c r="AW76" i="55641" s="1"/>
  <c r="AW77" i="55641" s="1"/>
  <c r="AW78" i="55641" s="1"/>
  <c r="AW79" i="55641" s="1"/>
  <c r="AW80" i="55641" s="1"/>
  <c r="AW81" i="55641" s="1"/>
  <c r="AW82" i="55641" s="1"/>
  <c r="AW83" i="55641" s="1"/>
  <c r="AW84" i="55641" s="1"/>
  <c r="AW85" i="55641" s="1"/>
  <c r="AW86" i="55641" s="1"/>
  <c r="AW87" i="55641" s="1"/>
  <c r="AW88" i="55641" s="1"/>
  <c r="AW89" i="55641" s="1"/>
  <c r="AW90" i="55641" s="1"/>
  <c r="AW91" i="55641" s="1"/>
  <c r="AW92" i="55641" s="1"/>
  <c r="AW93" i="55641" s="1"/>
  <c r="AW94" i="55641" s="1"/>
  <c r="AW95" i="55641" s="1"/>
  <c r="AW96" i="55641" s="1"/>
  <c r="AW97" i="55641" s="1"/>
  <c r="AW98" i="55641" s="1"/>
  <c r="X4" i="55644"/>
  <c r="Q4" i="55644" s="1"/>
  <c r="AQ9" i="55641" s="1"/>
  <c r="AQ10" i="55641" s="1"/>
  <c r="AQ11" i="55641" s="1"/>
  <c r="AQ12" i="55641" s="1"/>
  <c r="AQ13" i="55641" s="1"/>
  <c r="AQ14" i="55641" s="1"/>
  <c r="AQ15" i="55641" s="1"/>
  <c r="AQ16" i="55641" s="1"/>
  <c r="AQ17" i="55641" s="1"/>
  <c r="AQ18" i="55641" s="1"/>
  <c r="AQ19" i="55641" s="1"/>
  <c r="AQ20" i="55641" s="1"/>
  <c r="AQ21" i="55641" s="1"/>
  <c r="AQ22" i="55641" s="1"/>
  <c r="AQ23" i="55641" s="1"/>
  <c r="AQ24" i="55641" s="1"/>
  <c r="AQ25" i="55641" s="1"/>
  <c r="AQ26" i="55641" s="1"/>
  <c r="AQ27" i="55641" s="1"/>
  <c r="AQ28" i="55641" s="1"/>
  <c r="AQ29" i="55641" s="1"/>
  <c r="AQ30" i="55641" s="1"/>
  <c r="AQ31" i="55641" s="1"/>
  <c r="AQ32" i="55641" s="1"/>
  <c r="AQ33" i="55641" s="1"/>
  <c r="AQ34" i="55641" s="1"/>
  <c r="AQ35" i="55641" s="1"/>
  <c r="AQ36" i="55641" s="1"/>
  <c r="AQ37" i="55641" s="1"/>
  <c r="AQ38" i="55641" s="1"/>
  <c r="AQ39" i="55641" s="1"/>
  <c r="AQ40" i="55641" s="1"/>
  <c r="AQ41" i="55641" s="1"/>
  <c r="AQ42" i="55641" s="1"/>
  <c r="AQ43" i="55641" s="1"/>
  <c r="AQ44" i="55641" s="1"/>
  <c r="AQ45" i="55641" s="1"/>
  <c r="AQ46" i="55641" s="1"/>
  <c r="AQ47" i="55641" s="1"/>
  <c r="AQ48" i="55641" s="1"/>
  <c r="AQ49" i="55641" s="1"/>
  <c r="AQ50" i="55641" s="1"/>
  <c r="AQ51" i="55641" s="1"/>
  <c r="AQ52" i="55641" s="1"/>
  <c r="AQ53" i="55641" s="1"/>
  <c r="AQ54" i="55641" s="1"/>
  <c r="AQ55" i="55641" s="1"/>
  <c r="AQ56" i="55641" s="1"/>
  <c r="AQ57" i="55641" s="1"/>
  <c r="AQ58" i="55641" s="1"/>
  <c r="AQ59" i="55641" s="1"/>
  <c r="AQ60" i="55641" s="1"/>
  <c r="AQ61" i="55641" s="1"/>
  <c r="AQ62" i="55641" s="1"/>
  <c r="AQ63" i="55641" s="1"/>
  <c r="AQ64" i="55641" s="1"/>
  <c r="AQ65" i="55641" s="1"/>
  <c r="AQ66" i="55641" s="1"/>
  <c r="AQ67" i="55641" s="1"/>
  <c r="AQ68" i="55641" s="1"/>
  <c r="AQ69" i="55641" s="1"/>
  <c r="AQ70" i="55641" s="1"/>
  <c r="AQ71" i="55641" s="1"/>
  <c r="AQ72" i="55641" s="1"/>
  <c r="AQ73" i="55641" s="1"/>
  <c r="AQ74" i="55641" s="1"/>
  <c r="AQ75" i="55641" s="1"/>
  <c r="AQ76" i="55641" s="1"/>
  <c r="AQ77" i="55641" s="1"/>
  <c r="AQ78" i="55641" s="1"/>
  <c r="AQ79" i="55641" s="1"/>
  <c r="AQ80" i="55641" s="1"/>
  <c r="AQ81" i="55641" s="1"/>
  <c r="AQ82" i="55641" s="1"/>
  <c r="AQ83" i="55641" s="1"/>
  <c r="AQ84" i="55641" s="1"/>
  <c r="AQ85" i="55641" s="1"/>
  <c r="AQ86" i="55641" s="1"/>
  <c r="AQ87" i="55641" s="1"/>
  <c r="AQ88" i="55641" s="1"/>
  <c r="AQ89" i="55641" s="1"/>
  <c r="AQ90" i="55641" s="1"/>
  <c r="AQ91" i="55641" s="1"/>
  <c r="AQ92" i="55641" s="1"/>
  <c r="AQ93" i="55641" s="1"/>
  <c r="AQ94" i="55641" s="1"/>
  <c r="AQ95" i="55641" s="1"/>
  <c r="AQ96" i="55641" s="1"/>
  <c r="AQ97" i="55641" s="1"/>
  <c r="AQ98" i="55641" s="1"/>
  <c r="AK98" i="55641" s="1"/>
  <c r="T98" i="55641" s="1"/>
  <c r="X8" i="55644"/>
  <c r="Q8" i="55644" s="1"/>
  <c r="AU9" i="55641" s="1"/>
  <c r="AU10" i="55641" s="1"/>
  <c r="AU11" i="55641" s="1"/>
  <c r="AU12" i="55641" s="1"/>
  <c r="AU13" i="55641" s="1"/>
  <c r="AU14" i="55641" s="1"/>
  <c r="AU15" i="55641" s="1"/>
  <c r="AU16" i="55641" s="1"/>
  <c r="AU17" i="55641" s="1"/>
  <c r="AU18" i="55641" s="1"/>
  <c r="AU19" i="55641" s="1"/>
  <c r="AU20" i="55641" s="1"/>
  <c r="AU21" i="55641" s="1"/>
  <c r="AU22" i="55641" s="1"/>
  <c r="AU23" i="55641" s="1"/>
  <c r="AU24" i="55641" s="1"/>
  <c r="AU25" i="55641" s="1"/>
  <c r="AU26" i="55641" s="1"/>
  <c r="AU27" i="55641" s="1"/>
  <c r="AU28" i="55641" s="1"/>
  <c r="AU29" i="55641" s="1"/>
  <c r="AU30" i="55641" s="1"/>
  <c r="AU31" i="55641" s="1"/>
  <c r="AU32" i="55641" s="1"/>
  <c r="AU33" i="55641" s="1"/>
  <c r="AU34" i="55641" s="1"/>
  <c r="AU35" i="55641" s="1"/>
  <c r="AU36" i="55641" s="1"/>
  <c r="AU37" i="55641" s="1"/>
  <c r="AU38" i="55641" s="1"/>
  <c r="AU39" i="55641" s="1"/>
  <c r="AU40" i="55641" s="1"/>
  <c r="AU41" i="55641" s="1"/>
  <c r="AU42" i="55641" s="1"/>
  <c r="AU43" i="55641" s="1"/>
  <c r="AU44" i="55641" s="1"/>
  <c r="AU45" i="55641" s="1"/>
  <c r="AU46" i="55641" s="1"/>
  <c r="AU47" i="55641" s="1"/>
  <c r="AU48" i="55641" s="1"/>
  <c r="AU49" i="55641" s="1"/>
  <c r="AU50" i="55641" s="1"/>
  <c r="AU51" i="55641" s="1"/>
  <c r="AU52" i="55641" s="1"/>
  <c r="AU53" i="55641" s="1"/>
  <c r="AU54" i="55641" s="1"/>
  <c r="AU55" i="55641" s="1"/>
  <c r="AU56" i="55641" s="1"/>
  <c r="AU57" i="55641" s="1"/>
  <c r="AU58" i="55641" s="1"/>
  <c r="AU59" i="55641" s="1"/>
  <c r="AU60" i="55641" s="1"/>
  <c r="AU61" i="55641" s="1"/>
  <c r="AU62" i="55641" s="1"/>
  <c r="AU63" i="55641" s="1"/>
  <c r="AU64" i="55641" s="1"/>
  <c r="AU65" i="55641" s="1"/>
  <c r="AU66" i="55641" s="1"/>
  <c r="AU67" i="55641" s="1"/>
  <c r="AU68" i="55641" s="1"/>
  <c r="AU69" i="55641" s="1"/>
  <c r="AU70" i="55641" s="1"/>
  <c r="AU71" i="55641" s="1"/>
  <c r="AU72" i="55641" s="1"/>
  <c r="AU73" i="55641" s="1"/>
  <c r="AU74" i="55641" s="1"/>
  <c r="AU75" i="55641" s="1"/>
  <c r="AU76" i="55641" s="1"/>
  <c r="AU77" i="55641" s="1"/>
  <c r="AU78" i="55641" s="1"/>
  <c r="AU79" i="55641" s="1"/>
  <c r="AU80" i="55641" s="1"/>
  <c r="AU81" i="55641" s="1"/>
  <c r="AU82" i="55641" s="1"/>
  <c r="AU83" i="55641" s="1"/>
  <c r="AU84" i="55641" s="1"/>
  <c r="AU85" i="55641" s="1"/>
  <c r="AU86" i="55641" s="1"/>
  <c r="AU87" i="55641" s="1"/>
  <c r="AU88" i="55641" s="1"/>
  <c r="AU89" i="55641" s="1"/>
  <c r="AU90" i="55641" s="1"/>
  <c r="AU91" i="55641" s="1"/>
  <c r="AU92" i="55641" s="1"/>
  <c r="AU93" i="55641" s="1"/>
  <c r="AU94" i="55641" s="1"/>
  <c r="AU95" i="55641" s="1"/>
  <c r="AU96" i="55641" s="1"/>
  <c r="AU97" i="55641" s="1"/>
  <c r="AU98" i="55641" s="1"/>
  <c r="X5" i="55644"/>
  <c r="Q5" i="55644" s="1"/>
  <c r="AR9" i="55641" s="1"/>
  <c r="AR10" i="55641" s="1"/>
  <c r="AR11" i="55641" s="1"/>
  <c r="AR12" i="55641" s="1"/>
  <c r="AR13" i="55641" s="1"/>
  <c r="AR14" i="55641" s="1"/>
  <c r="AR15" i="55641" s="1"/>
  <c r="AR16" i="55641" s="1"/>
  <c r="AR17" i="55641" s="1"/>
  <c r="AR18" i="55641" s="1"/>
  <c r="AR19" i="55641" s="1"/>
  <c r="AR20" i="55641" s="1"/>
  <c r="AR21" i="55641" s="1"/>
  <c r="AR22" i="55641" s="1"/>
  <c r="AR23" i="55641" s="1"/>
  <c r="AR24" i="55641" s="1"/>
  <c r="AR25" i="55641" s="1"/>
  <c r="AR26" i="55641" s="1"/>
  <c r="AR27" i="55641" s="1"/>
  <c r="AR28" i="55641" s="1"/>
  <c r="AR29" i="55641" s="1"/>
  <c r="AR30" i="55641" s="1"/>
  <c r="AR31" i="55641" s="1"/>
  <c r="AR32" i="55641" s="1"/>
  <c r="AR33" i="55641" s="1"/>
  <c r="AR34" i="55641" s="1"/>
  <c r="AR35" i="55641" s="1"/>
  <c r="AR36" i="55641" s="1"/>
  <c r="AR37" i="55641" s="1"/>
  <c r="AR38" i="55641" s="1"/>
  <c r="AR39" i="55641" s="1"/>
  <c r="AR40" i="55641" s="1"/>
  <c r="AR41" i="55641" s="1"/>
  <c r="AR42" i="55641" s="1"/>
  <c r="AR43" i="55641" s="1"/>
  <c r="AR44" i="55641" s="1"/>
  <c r="AR45" i="55641" s="1"/>
  <c r="AR46" i="55641" s="1"/>
  <c r="AR47" i="55641" s="1"/>
  <c r="AR48" i="55641" s="1"/>
  <c r="AR49" i="55641" s="1"/>
  <c r="AR50" i="55641" s="1"/>
  <c r="AR51" i="55641" s="1"/>
  <c r="AR52" i="55641" s="1"/>
  <c r="AR53" i="55641" s="1"/>
  <c r="AR54" i="55641" s="1"/>
  <c r="AR55" i="55641" s="1"/>
  <c r="AR56" i="55641" s="1"/>
  <c r="AR57" i="55641" s="1"/>
  <c r="AR58" i="55641" s="1"/>
  <c r="AR59" i="55641" s="1"/>
  <c r="AR60" i="55641" s="1"/>
  <c r="AR61" i="55641" s="1"/>
  <c r="AR62" i="55641" s="1"/>
  <c r="AR63" i="55641" s="1"/>
  <c r="AR64" i="55641" s="1"/>
  <c r="AR65" i="55641" s="1"/>
  <c r="AR66" i="55641" s="1"/>
  <c r="AR67" i="55641" s="1"/>
  <c r="AR68" i="55641" s="1"/>
  <c r="AR69" i="55641" s="1"/>
  <c r="AR70" i="55641" s="1"/>
  <c r="AR71" i="55641" s="1"/>
  <c r="AR72" i="55641" s="1"/>
  <c r="AR73" i="55641" s="1"/>
  <c r="AR74" i="55641" s="1"/>
  <c r="AR75" i="55641" s="1"/>
  <c r="AR76" i="55641" s="1"/>
  <c r="AR77" i="55641" s="1"/>
  <c r="AR78" i="55641" s="1"/>
  <c r="AR79" i="55641" s="1"/>
  <c r="AR80" i="55641" s="1"/>
  <c r="AR81" i="55641" s="1"/>
  <c r="AR82" i="55641" s="1"/>
  <c r="AR83" i="55641" s="1"/>
  <c r="AR84" i="55641" s="1"/>
  <c r="AR85" i="55641" s="1"/>
  <c r="AR86" i="55641" s="1"/>
  <c r="AR87" i="55641" s="1"/>
  <c r="AR88" i="55641" s="1"/>
  <c r="AR89" i="55641" s="1"/>
  <c r="AR90" i="55641" s="1"/>
  <c r="AR91" i="55641" s="1"/>
  <c r="AR92" i="55641" s="1"/>
  <c r="AR93" i="55641" s="1"/>
  <c r="AR94" i="55641" s="1"/>
  <c r="AR95" i="55641" s="1"/>
  <c r="AR96" i="55641" s="1"/>
  <c r="AR97" i="55641" s="1"/>
  <c r="AR98" i="55641" s="1"/>
  <c r="X7" i="55644"/>
  <c r="Q7" i="55644" s="1"/>
  <c r="AT9" i="55641" s="1"/>
  <c r="AT10" i="55641" s="1"/>
  <c r="AT11" i="55641" s="1"/>
  <c r="AT12" i="55641" s="1"/>
  <c r="AT13" i="55641" s="1"/>
  <c r="AT14" i="55641" s="1"/>
  <c r="AT15" i="55641" s="1"/>
  <c r="AT16" i="55641" s="1"/>
  <c r="AT17" i="55641" s="1"/>
  <c r="AT18" i="55641" s="1"/>
  <c r="AT19" i="55641" s="1"/>
  <c r="AT20" i="55641" s="1"/>
  <c r="AT21" i="55641" s="1"/>
  <c r="AT22" i="55641" s="1"/>
  <c r="AT23" i="55641" s="1"/>
  <c r="AT24" i="55641" s="1"/>
  <c r="AT25" i="55641" s="1"/>
  <c r="AT26" i="55641" s="1"/>
  <c r="AT27" i="55641" s="1"/>
  <c r="AT28" i="55641" s="1"/>
  <c r="AT29" i="55641" s="1"/>
  <c r="AT30" i="55641" s="1"/>
  <c r="AT31" i="55641" s="1"/>
  <c r="AT32" i="55641" s="1"/>
  <c r="AT33" i="55641" s="1"/>
  <c r="AT34" i="55641" s="1"/>
  <c r="AT35" i="55641" s="1"/>
  <c r="AT36" i="55641" s="1"/>
  <c r="AT37" i="55641" s="1"/>
  <c r="AT38" i="55641" s="1"/>
  <c r="AT39" i="55641" s="1"/>
  <c r="AT40" i="55641" s="1"/>
  <c r="AT41" i="55641" s="1"/>
  <c r="AT42" i="55641" s="1"/>
  <c r="AT43" i="55641" s="1"/>
  <c r="AT44" i="55641" s="1"/>
  <c r="AT45" i="55641" s="1"/>
  <c r="AT46" i="55641" s="1"/>
  <c r="AT47" i="55641" s="1"/>
  <c r="AT48" i="55641" s="1"/>
  <c r="AT49" i="55641" s="1"/>
  <c r="AT50" i="55641" s="1"/>
  <c r="AT51" i="55641" s="1"/>
  <c r="AT52" i="55641" s="1"/>
  <c r="AT53" i="55641" s="1"/>
  <c r="AT54" i="55641" s="1"/>
  <c r="AT55" i="55641" s="1"/>
  <c r="AT56" i="55641" s="1"/>
  <c r="AT57" i="55641" s="1"/>
  <c r="AT58" i="55641" s="1"/>
  <c r="AT59" i="55641" s="1"/>
  <c r="AT60" i="55641" s="1"/>
  <c r="AT61" i="55641" s="1"/>
  <c r="AT62" i="55641" s="1"/>
  <c r="AT63" i="55641" s="1"/>
  <c r="AT64" i="55641" s="1"/>
  <c r="AT65" i="55641" s="1"/>
  <c r="AT66" i="55641" s="1"/>
  <c r="AT67" i="55641" s="1"/>
  <c r="AT68" i="55641" s="1"/>
  <c r="AT69" i="55641" s="1"/>
  <c r="AT70" i="55641" s="1"/>
  <c r="AT71" i="55641" s="1"/>
  <c r="AT72" i="55641" s="1"/>
  <c r="AT73" i="55641" s="1"/>
  <c r="AT74" i="55641" s="1"/>
  <c r="AT75" i="55641" s="1"/>
  <c r="AT76" i="55641" s="1"/>
  <c r="AT77" i="55641" s="1"/>
  <c r="AT78" i="55641" s="1"/>
  <c r="AT79" i="55641" s="1"/>
  <c r="AT80" i="55641" s="1"/>
  <c r="AT81" i="55641" s="1"/>
  <c r="AT82" i="55641" s="1"/>
  <c r="AT83" i="55641" s="1"/>
  <c r="AT84" i="55641" s="1"/>
  <c r="AT85" i="55641" s="1"/>
  <c r="AT86" i="55641" s="1"/>
  <c r="AT87" i="55641" s="1"/>
  <c r="AT88" i="55641" s="1"/>
  <c r="AT89" i="55641" s="1"/>
  <c r="AT90" i="55641" s="1"/>
  <c r="AT91" i="55641" s="1"/>
  <c r="AT92" i="55641" s="1"/>
  <c r="AT93" i="55641" s="1"/>
  <c r="AT94" i="55641" s="1"/>
  <c r="AT95" i="55641" s="1"/>
  <c r="AT96" i="55641" s="1"/>
  <c r="AT97" i="55641" s="1"/>
  <c r="AT98" i="55641" s="1"/>
  <c r="X8" i="55643"/>
  <c r="Q8" i="55643" s="1"/>
  <c r="AV9" i="1" s="1"/>
  <c r="AV10" i="1" s="1"/>
  <c r="AV11" i="1" s="1"/>
  <c r="AV12" i="1" s="1"/>
  <c r="AV13" i="1" s="1"/>
  <c r="AV14" i="1" s="1"/>
  <c r="AV15" i="1" s="1"/>
  <c r="AV16" i="1" s="1"/>
  <c r="AV17" i="1" s="1"/>
  <c r="AV18" i="1" s="1"/>
  <c r="AV19" i="1" s="1"/>
  <c r="AV20" i="1" s="1"/>
  <c r="AV21" i="1" s="1"/>
  <c r="AV22" i="1" s="1"/>
  <c r="AV23" i="1" s="1"/>
  <c r="AV24" i="1" s="1"/>
  <c r="AV25" i="1" s="1"/>
  <c r="AV26" i="1" s="1"/>
  <c r="AV27" i="1" s="1"/>
  <c r="AV28" i="1" s="1"/>
  <c r="AV29" i="1" s="1"/>
  <c r="AV30" i="1" s="1"/>
  <c r="AV31" i="1" s="1"/>
  <c r="AV32" i="1" s="1"/>
  <c r="BN26" i="1"/>
  <c r="BN18" i="1"/>
  <c r="BN14" i="1"/>
  <c r="BN24" i="1"/>
  <c r="BN16" i="1"/>
  <c r="BN10" i="1"/>
  <c r="BN28" i="1"/>
  <c r="BN9" i="1"/>
  <c r="BN27" i="1"/>
  <c r="BN23" i="1"/>
  <c r="BN15" i="1"/>
  <c r="BN20" i="1"/>
  <c r="X6" i="55643"/>
  <c r="Q6" i="55643" s="1"/>
  <c r="AT9" i="1" s="1"/>
  <c r="AT10" i="1" s="1"/>
  <c r="AT11" i="1" s="1"/>
  <c r="AT12" i="1" s="1"/>
  <c r="AT13" i="1" s="1"/>
  <c r="AT14" i="1" s="1"/>
  <c r="AT15" i="1" s="1"/>
  <c r="AT16" i="1" s="1"/>
  <c r="AT17" i="1" s="1"/>
  <c r="AT18" i="1" s="1"/>
  <c r="AT19" i="1" s="1"/>
  <c r="AT20" i="1" s="1"/>
  <c r="AT21" i="1" s="1"/>
  <c r="AT22" i="1" s="1"/>
  <c r="AT23" i="1" s="1"/>
  <c r="AT24" i="1" s="1"/>
  <c r="AT25" i="1" s="1"/>
  <c r="AT26" i="1" s="1"/>
  <c r="AT27" i="1" s="1"/>
  <c r="AT28" i="1" s="1"/>
  <c r="AT29" i="1" s="1"/>
  <c r="AT30" i="1" s="1"/>
  <c r="AT31" i="1" s="1"/>
  <c r="AT32" i="1" s="1"/>
  <c r="BN32" i="1"/>
  <c r="BN21" i="1"/>
  <c r="X5" i="55643"/>
  <c r="Q5" i="55643" s="1"/>
  <c r="AS9" i="1" s="1"/>
  <c r="AS10" i="1" s="1"/>
  <c r="AS11" i="1" s="1"/>
  <c r="AS12" i="1" s="1"/>
  <c r="AS13" i="1" s="1"/>
  <c r="AS14" i="1" s="1"/>
  <c r="AS15" i="1" s="1"/>
  <c r="AS16" i="1" s="1"/>
  <c r="AS17" i="1" s="1"/>
  <c r="AS18" i="1" s="1"/>
  <c r="AS19" i="1" s="1"/>
  <c r="AS20" i="1" s="1"/>
  <c r="AS21" i="1" s="1"/>
  <c r="AS22" i="1" s="1"/>
  <c r="AS23" i="1" s="1"/>
  <c r="AS24" i="1" s="1"/>
  <c r="AS25" i="1" s="1"/>
  <c r="AS26" i="1" s="1"/>
  <c r="AS27" i="1" s="1"/>
  <c r="AS28" i="1" s="1"/>
  <c r="AS29" i="1" s="1"/>
  <c r="AS30" i="1" s="1"/>
  <c r="AS31" i="1" s="1"/>
  <c r="AS32" i="1" s="1"/>
  <c r="X9" i="55643"/>
  <c r="Q9" i="55643" s="1"/>
  <c r="AW9" i="1" s="1"/>
  <c r="AW10" i="1" s="1"/>
  <c r="AW11" i="1" s="1"/>
  <c r="AW12" i="1" s="1"/>
  <c r="AW13" i="1" s="1"/>
  <c r="AW14" i="1" s="1"/>
  <c r="AW15" i="1" s="1"/>
  <c r="AW16" i="1" s="1"/>
  <c r="AW17" i="1" s="1"/>
  <c r="AW18" i="1" s="1"/>
  <c r="AW19" i="1" s="1"/>
  <c r="AW20" i="1" s="1"/>
  <c r="AW21" i="1" s="1"/>
  <c r="AW22" i="1" s="1"/>
  <c r="AW23" i="1" s="1"/>
  <c r="AW24" i="1" s="1"/>
  <c r="AW25" i="1" s="1"/>
  <c r="AW26" i="1" s="1"/>
  <c r="AW27" i="1" s="1"/>
  <c r="AW28" i="1" s="1"/>
  <c r="AW29" i="1" s="1"/>
  <c r="AW30" i="1" s="1"/>
  <c r="AW31" i="1" s="1"/>
  <c r="AW32" i="1" s="1"/>
  <c r="X4" i="55643"/>
  <c r="Q4" i="55643" s="1"/>
  <c r="AR9" i="1" s="1"/>
  <c r="AR10" i="1" s="1"/>
  <c r="AR11" i="1" s="1"/>
  <c r="AR12" i="1" s="1"/>
  <c r="AR13" i="1" s="1"/>
  <c r="AR14" i="1" s="1"/>
  <c r="AR15" i="1" s="1"/>
  <c r="AR16" i="1" s="1"/>
  <c r="AR17" i="1" s="1"/>
  <c r="AR18" i="1" s="1"/>
  <c r="AR19" i="1" s="1"/>
  <c r="AR20" i="1" s="1"/>
  <c r="AR21" i="1" s="1"/>
  <c r="AR22" i="1" s="1"/>
  <c r="AR23" i="1" s="1"/>
  <c r="AR24" i="1" s="1"/>
  <c r="AR25" i="1" s="1"/>
  <c r="AR26" i="1" s="1"/>
  <c r="AR27" i="1" s="1"/>
  <c r="AR28" i="1" s="1"/>
  <c r="AR29" i="1" s="1"/>
  <c r="AR30" i="1" s="1"/>
  <c r="AR31" i="1" s="1"/>
  <c r="AR32" i="1" s="1"/>
  <c r="BN31" i="1"/>
  <c r="X10" i="55643"/>
  <c r="Q10" i="55643" s="1"/>
  <c r="AX9" i="1" s="1"/>
  <c r="AX10" i="1" s="1"/>
  <c r="AX11" i="1" s="1"/>
  <c r="AX12" i="1" s="1"/>
  <c r="AX13" i="1" s="1"/>
  <c r="AX14" i="1" s="1"/>
  <c r="AX15" i="1" s="1"/>
  <c r="AX16" i="1" s="1"/>
  <c r="AX17" i="1" s="1"/>
  <c r="AX18" i="1" s="1"/>
  <c r="AX19" i="1" s="1"/>
  <c r="AX20" i="1" s="1"/>
  <c r="AX21" i="1" s="1"/>
  <c r="AX22" i="1" s="1"/>
  <c r="AX23" i="1" s="1"/>
  <c r="AX24" i="1" s="1"/>
  <c r="AX25" i="1" s="1"/>
  <c r="AX26" i="1" s="1"/>
  <c r="AX27" i="1" s="1"/>
  <c r="AX28" i="1" s="1"/>
  <c r="AX29" i="1" s="1"/>
  <c r="AX30" i="1" s="1"/>
  <c r="AX31" i="1" s="1"/>
  <c r="AX32" i="1" s="1"/>
  <c r="BN22" i="1"/>
  <c r="C88" i="55649" l="1"/>
  <c r="C84" i="55647"/>
  <c r="AK97" i="55641"/>
  <c r="T97" i="55641" s="1"/>
  <c r="BP16" i="55641"/>
  <c r="C95" i="55641"/>
  <c r="AP96" i="55641"/>
  <c r="AM96" i="55641" s="1"/>
  <c r="AK96" i="55641" s="1"/>
  <c r="T96" i="55641" s="1"/>
  <c r="AL12" i="1"/>
  <c r="T12" i="1" s="1"/>
  <c r="C94" i="1"/>
  <c r="AQ95" i="1"/>
  <c r="AN95" i="1" s="1"/>
  <c r="AX99" i="1"/>
  <c r="AX33" i="1"/>
  <c r="AX34" i="1" s="1"/>
  <c r="AW99" i="1"/>
  <c r="AW33" i="1"/>
  <c r="AV99" i="1"/>
  <c r="AV33" i="1"/>
  <c r="AV34" i="1" s="1"/>
  <c r="AV35" i="1" s="1"/>
  <c r="AV36" i="1" s="1"/>
  <c r="AV37" i="1" s="1"/>
  <c r="AV38" i="1" s="1"/>
  <c r="AV39" i="1" s="1"/>
  <c r="AU99" i="1"/>
  <c r="AU33" i="1"/>
  <c r="AU34" i="1" s="1"/>
  <c r="AU35" i="1" s="1"/>
  <c r="AU36" i="1" s="1"/>
  <c r="AU37" i="1" s="1"/>
  <c r="AU38" i="1" s="1"/>
  <c r="AT99" i="1"/>
  <c r="AT33" i="1"/>
  <c r="AT34" i="1" s="1"/>
  <c r="AT35" i="1" s="1"/>
  <c r="AT36" i="1" s="1"/>
  <c r="AT37" i="1" s="1"/>
  <c r="AS99" i="1"/>
  <c r="AS33" i="1"/>
  <c r="AS34" i="1" s="1"/>
  <c r="AS35" i="1" s="1"/>
  <c r="AS36" i="1" s="1"/>
  <c r="AR99" i="1"/>
  <c r="AR33" i="1"/>
  <c r="AR34" i="1" s="1"/>
  <c r="AR35" i="1" s="1"/>
  <c r="BO9" i="1"/>
  <c r="C87" i="55649" l="1"/>
  <c r="C83" i="55647"/>
  <c r="AP95" i="55641"/>
  <c r="AM95" i="55641" s="1"/>
  <c r="AK95" i="55641" s="1"/>
  <c r="T95" i="55641" s="1"/>
  <c r="C94" i="55641"/>
  <c r="BP15" i="55641"/>
  <c r="BP17" i="55641"/>
  <c r="D5" i="55649"/>
  <c r="U12" i="1"/>
  <c r="D18" i="55647"/>
  <c r="X12" i="1"/>
  <c r="C93" i="1"/>
  <c r="AQ94" i="1"/>
  <c r="AN94" i="1" s="1"/>
  <c r="AX35" i="1"/>
  <c r="AX36" i="1" s="1"/>
  <c r="AX37" i="1" s="1"/>
  <c r="AX38" i="1" s="1"/>
  <c r="AX39" i="1" s="1"/>
  <c r="AX40" i="1" s="1"/>
  <c r="AX41" i="1" s="1"/>
  <c r="AW34" i="1"/>
  <c r="AW35" i="1" s="1"/>
  <c r="AW36" i="1" s="1"/>
  <c r="AW37" i="1" s="1"/>
  <c r="AW38" i="1" s="1"/>
  <c r="AW39" i="1" s="1"/>
  <c r="AW40" i="1" s="1"/>
  <c r="AV40" i="1"/>
  <c r="AV41" i="1" s="1"/>
  <c r="AV42" i="1" s="1"/>
  <c r="AV43" i="1" s="1"/>
  <c r="AV44" i="1" s="1"/>
  <c r="AV45" i="1" s="1"/>
  <c r="AV46" i="1" s="1"/>
  <c r="AU39" i="1"/>
  <c r="AU40" i="1" s="1"/>
  <c r="AU41" i="1" s="1"/>
  <c r="AU42" i="1" s="1"/>
  <c r="AU43" i="1" s="1"/>
  <c r="AU44" i="1" s="1"/>
  <c r="AU45" i="1" s="1"/>
  <c r="AT38" i="1"/>
  <c r="AT39" i="1" s="1"/>
  <c r="AT40" i="1" s="1"/>
  <c r="AT41" i="1" s="1"/>
  <c r="AT42" i="1" s="1"/>
  <c r="AT43" i="1" s="1"/>
  <c r="AT44" i="1" s="1"/>
  <c r="AS37" i="1"/>
  <c r="AS38" i="1" s="1"/>
  <c r="AS39" i="1" s="1"/>
  <c r="AS40" i="1" s="1"/>
  <c r="AS41" i="1" s="1"/>
  <c r="AS42" i="1" s="1"/>
  <c r="AS43" i="1" s="1"/>
  <c r="AR36" i="1"/>
  <c r="AR37" i="1" s="1"/>
  <c r="AR38" i="1" s="1"/>
  <c r="AR39" i="1" s="1"/>
  <c r="AR40" i="1" s="1"/>
  <c r="AR41" i="1" s="1"/>
  <c r="AR42" i="1" s="1"/>
  <c r="BQ16" i="1"/>
  <c r="C86" i="55649" l="1"/>
  <c r="C82" i="55647"/>
  <c r="BP13" i="55641"/>
  <c r="BP9" i="55641" s="1"/>
  <c r="AP94" i="55641"/>
  <c r="AM94" i="55641" s="1"/>
  <c r="AK94" i="55641" s="1"/>
  <c r="T94" i="55641" s="1"/>
  <c r="C93" i="55641"/>
  <c r="C92" i="1"/>
  <c r="AQ93" i="1"/>
  <c r="AN93" i="1" s="1"/>
  <c r="AX42" i="1"/>
  <c r="AX43" i="1" s="1"/>
  <c r="AX44" i="1" s="1"/>
  <c r="AX45" i="1" s="1"/>
  <c r="AX46" i="1" s="1"/>
  <c r="AX47" i="1" s="1"/>
  <c r="AX48" i="1" s="1"/>
  <c r="AW41" i="1"/>
  <c r="AW42" i="1" s="1"/>
  <c r="AW43" i="1" s="1"/>
  <c r="AW44" i="1" s="1"/>
  <c r="AW45" i="1" s="1"/>
  <c r="AW46" i="1" s="1"/>
  <c r="AW47" i="1" s="1"/>
  <c r="AV47" i="1"/>
  <c r="AV48" i="1" s="1"/>
  <c r="AV49" i="1" s="1"/>
  <c r="AV50" i="1" s="1"/>
  <c r="AV51" i="1" s="1"/>
  <c r="AV52" i="1" s="1"/>
  <c r="AV53" i="1" s="1"/>
  <c r="AU46" i="1"/>
  <c r="AU47" i="1" s="1"/>
  <c r="AU48" i="1" s="1"/>
  <c r="AU49" i="1" s="1"/>
  <c r="AU50" i="1" s="1"/>
  <c r="AU51" i="1" s="1"/>
  <c r="AU52" i="1" s="1"/>
  <c r="AT45" i="1"/>
  <c r="AT46" i="1" s="1"/>
  <c r="AT47" i="1" s="1"/>
  <c r="AT48" i="1" s="1"/>
  <c r="AT49" i="1" s="1"/>
  <c r="AT50" i="1" s="1"/>
  <c r="AT51" i="1" s="1"/>
  <c r="AS44" i="1"/>
  <c r="AS45" i="1" s="1"/>
  <c r="AS46" i="1" s="1"/>
  <c r="AS47" i="1" s="1"/>
  <c r="AS48" i="1" s="1"/>
  <c r="AS49" i="1" s="1"/>
  <c r="AS50" i="1" s="1"/>
  <c r="AR43" i="1"/>
  <c r="AR44" i="1" s="1"/>
  <c r="AR45" i="1" s="1"/>
  <c r="AR46" i="1" s="1"/>
  <c r="AR47" i="1" s="1"/>
  <c r="AR48" i="1" s="1"/>
  <c r="AR49" i="1" s="1"/>
  <c r="BQ17" i="1"/>
  <c r="BQ15" i="1"/>
  <c r="C81" i="55647" l="1"/>
  <c r="C85" i="55649"/>
  <c r="AP93" i="55641"/>
  <c r="AM93" i="55641" s="1"/>
  <c r="AK93" i="55641" s="1"/>
  <c r="T93" i="55641" s="1"/>
  <c r="C92" i="55641"/>
  <c r="BQ13" i="1"/>
  <c r="BQ9" i="1" s="1"/>
  <c r="B8" i="3" s="1"/>
  <c r="C91" i="1"/>
  <c r="AQ92" i="1"/>
  <c r="AN92" i="1" s="1"/>
  <c r="AX49" i="1"/>
  <c r="AX50" i="1" s="1"/>
  <c r="AX51" i="1" s="1"/>
  <c r="AX52" i="1" s="1"/>
  <c r="AX53" i="1" s="1"/>
  <c r="AX54" i="1" s="1"/>
  <c r="AX55" i="1" s="1"/>
  <c r="AW48" i="1"/>
  <c r="AW49" i="1" s="1"/>
  <c r="AW50" i="1" s="1"/>
  <c r="AW51" i="1" s="1"/>
  <c r="AW52" i="1" s="1"/>
  <c r="AW53" i="1" s="1"/>
  <c r="AW54" i="1" s="1"/>
  <c r="AV54" i="1"/>
  <c r="AV55" i="1" s="1"/>
  <c r="AV56" i="1" s="1"/>
  <c r="AV57" i="1" s="1"/>
  <c r="AV58" i="1" s="1"/>
  <c r="AV59" i="1" s="1"/>
  <c r="AV60" i="1" s="1"/>
  <c r="AU53" i="1"/>
  <c r="AU54" i="1" s="1"/>
  <c r="AU55" i="1" s="1"/>
  <c r="AU56" i="1" s="1"/>
  <c r="AU57" i="1" s="1"/>
  <c r="AU58" i="1" s="1"/>
  <c r="AU59" i="1" s="1"/>
  <c r="AT52" i="1"/>
  <c r="AT53" i="1" s="1"/>
  <c r="AT54" i="1" s="1"/>
  <c r="AT55" i="1" s="1"/>
  <c r="AT56" i="1" s="1"/>
  <c r="AT57" i="1" s="1"/>
  <c r="AT58" i="1" s="1"/>
  <c r="AS51" i="1"/>
  <c r="AS52" i="1" s="1"/>
  <c r="AS53" i="1" s="1"/>
  <c r="AS54" i="1" s="1"/>
  <c r="AS55" i="1" s="1"/>
  <c r="AS56" i="1" s="1"/>
  <c r="AS57" i="1" s="1"/>
  <c r="AR50" i="1"/>
  <c r="AR51" i="1" s="1"/>
  <c r="AR52" i="1" s="1"/>
  <c r="AR53" i="1" s="1"/>
  <c r="AR54" i="1" s="1"/>
  <c r="AR55" i="1" s="1"/>
  <c r="AR56" i="1" s="1"/>
  <c r="C84" i="55649" l="1"/>
  <c r="C80" i="55647"/>
  <c r="AP92" i="55641"/>
  <c r="AM92" i="55641" s="1"/>
  <c r="AK92" i="55641" s="1"/>
  <c r="T92" i="55641" s="1"/>
  <c r="C91" i="55641"/>
  <c r="C90" i="1"/>
  <c r="AQ91" i="1"/>
  <c r="AN91" i="1" s="1"/>
  <c r="AX56" i="1"/>
  <c r="AX57" i="1" s="1"/>
  <c r="AX58" i="1" s="1"/>
  <c r="AX59" i="1" s="1"/>
  <c r="AX60" i="1" s="1"/>
  <c r="AX61" i="1" s="1"/>
  <c r="AX62" i="1" s="1"/>
  <c r="AW55" i="1"/>
  <c r="AW56" i="1" s="1"/>
  <c r="AW57" i="1" s="1"/>
  <c r="AW58" i="1" s="1"/>
  <c r="AW59" i="1" s="1"/>
  <c r="AW60" i="1" s="1"/>
  <c r="AW61" i="1" s="1"/>
  <c r="AV61" i="1"/>
  <c r="AV62" i="1" s="1"/>
  <c r="AV63" i="1" s="1"/>
  <c r="AV64" i="1" s="1"/>
  <c r="AV65" i="1" s="1"/>
  <c r="AV66" i="1" s="1"/>
  <c r="AV67" i="1" s="1"/>
  <c r="AU60" i="1"/>
  <c r="AU61" i="1" s="1"/>
  <c r="AU62" i="1" s="1"/>
  <c r="AU63" i="1" s="1"/>
  <c r="AU64" i="1" s="1"/>
  <c r="AU65" i="1" s="1"/>
  <c r="AU66" i="1" s="1"/>
  <c r="AT59" i="1"/>
  <c r="AT60" i="1" s="1"/>
  <c r="AT61" i="1" s="1"/>
  <c r="AT62" i="1" s="1"/>
  <c r="AT63" i="1" s="1"/>
  <c r="AT64" i="1" s="1"/>
  <c r="AT65" i="1" s="1"/>
  <c r="AS58" i="1"/>
  <c r="AS59" i="1" s="1"/>
  <c r="AS60" i="1" s="1"/>
  <c r="AS61" i="1" s="1"/>
  <c r="AS62" i="1" s="1"/>
  <c r="AS63" i="1" s="1"/>
  <c r="AS64" i="1" s="1"/>
  <c r="AR57" i="1"/>
  <c r="AR58" i="1" s="1"/>
  <c r="AR59" i="1" s="1"/>
  <c r="AR60" i="1" s="1"/>
  <c r="AR61" i="1" s="1"/>
  <c r="AR62" i="1" s="1"/>
  <c r="AR63" i="1" s="1"/>
  <c r="C83" i="55649" l="1"/>
  <c r="C79" i="55647"/>
  <c r="AP91" i="55641"/>
  <c r="AM91" i="55641" s="1"/>
  <c r="AK91" i="55641" s="1"/>
  <c r="T91" i="55641" s="1"/>
  <c r="C90" i="55641"/>
  <c r="C89" i="1"/>
  <c r="AQ90" i="1"/>
  <c r="AN90" i="1" s="1"/>
  <c r="AX63" i="1"/>
  <c r="AX64" i="1" s="1"/>
  <c r="AX65" i="1" s="1"/>
  <c r="AX66" i="1" s="1"/>
  <c r="AX67" i="1" s="1"/>
  <c r="AX68" i="1" s="1"/>
  <c r="AX69" i="1" s="1"/>
  <c r="AW62" i="1"/>
  <c r="AW63" i="1" s="1"/>
  <c r="AW64" i="1" s="1"/>
  <c r="AW65" i="1" s="1"/>
  <c r="AW66" i="1" s="1"/>
  <c r="AW67" i="1" s="1"/>
  <c r="AW68" i="1" s="1"/>
  <c r="AV68" i="1"/>
  <c r="AV69" i="1" s="1"/>
  <c r="AV70" i="1" s="1"/>
  <c r="AV71" i="1" s="1"/>
  <c r="AV72" i="1" s="1"/>
  <c r="AV73" i="1" s="1"/>
  <c r="AV74" i="1" s="1"/>
  <c r="AU67" i="1"/>
  <c r="AU68" i="1" s="1"/>
  <c r="AU69" i="1" s="1"/>
  <c r="AU70" i="1" s="1"/>
  <c r="AU71" i="1" s="1"/>
  <c r="AU72" i="1" s="1"/>
  <c r="AU73" i="1" s="1"/>
  <c r="AT66" i="1"/>
  <c r="AT67" i="1" s="1"/>
  <c r="AT68" i="1" s="1"/>
  <c r="AT69" i="1" s="1"/>
  <c r="AT70" i="1" s="1"/>
  <c r="AT71" i="1" s="1"/>
  <c r="AT72" i="1" s="1"/>
  <c r="AS65" i="1"/>
  <c r="AS66" i="1" s="1"/>
  <c r="AS67" i="1" s="1"/>
  <c r="AS68" i="1" s="1"/>
  <c r="AS69" i="1" s="1"/>
  <c r="AS70" i="1" s="1"/>
  <c r="AS71" i="1" s="1"/>
  <c r="AR64" i="1"/>
  <c r="AR65" i="1" s="1"/>
  <c r="AR66" i="1" s="1"/>
  <c r="AR67" i="1" s="1"/>
  <c r="AR68" i="1" s="1"/>
  <c r="AR69" i="1" s="1"/>
  <c r="AR70" i="1" s="1"/>
  <c r="C82" i="55649" l="1"/>
  <c r="C78" i="55647"/>
  <c r="AP90" i="55641"/>
  <c r="AM90" i="55641" s="1"/>
  <c r="AK90" i="55641" s="1"/>
  <c r="T90" i="55641" s="1"/>
  <c r="C89" i="55641"/>
  <c r="C88" i="1"/>
  <c r="AQ89" i="1"/>
  <c r="AN89" i="1" s="1"/>
  <c r="AX70" i="1"/>
  <c r="AX71" i="1" s="1"/>
  <c r="AX72" i="1" s="1"/>
  <c r="AX73" i="1" s="1"/>
  <c r="AX74" i="1" s="1"/>
  <c r="AX75" i="1" s="1"/>
  <c r="AX76" i="1" s="1"/>
  <c r="AW69" i="1"/>
  <c r="AW70" i="1" s="1"/>
  <c r="AW71" i="1" s="1"/>
  <c r="AW72" i="1" s="1"/>
  <c r="AW73" i="1" s="1"/>
  <c r="AW74" i="1" s="1"/>
  <c r="AW75" i="1" s="1"/>
  <c r="AV75" i="1"/>
  <c r="AV76" i="1" s="1"/>
  <c r="AV77" i="1" s="1"/>
  <c r="AV78" i="1" s="1"/>
  <c r="AV79" i="1" s="1"/>
  <c r="AV80" i="1" s="1"/>
  <c r="AV81" i="1" s="1"/>
  <c r="AU74" i="1"/>
  <c r="AU75" i="1" s="1"/>
  <c r="AU76" i="1" s="1"/>
  <c r="AU77" i="1" s="1"/>
  <c r="AU78" i="1" s="1"/>
  <c r="AU79" i="1" s="1"/>
  <c r="AU80" i="1" s="1"/>
  <c r="AT73" i="1"/>
  <c r="AT74" i="1" s="1"/>
  <c r="AT75" i="1" s="1"/>
  <c r="AT76" i="1" s="1"/>
  <c r="AT77" i="1" s="1"/>
  <c r="AT78" i="1" s="1"/>
  <c r="AT79" i="1" s="1"/>
  <c r="AS72" i="1"/>
  <c r="AS73" i="1" s="1"/>
  <c r="AS74" i="1" s="1"/>
  <c r="AS75" i="1" s="1"/>
  <c r="AS76" i="1" s="1"/>
  <c r="AS77" i="1" s="1"/>
  <c r="AS78" i="1" s="1"/>
  <c r="AR71" i="1"/>
  <c r="AR72" i="1" s="1"/>
  <c r="AR73" i="1" s="1"/>
  <c r="AR74" i="1" s="1"/>
  <c r="AR75" i="1" s="1"/>
  <c r="AR76" i="1" s="1"/>
  <c r="AR77" i="1" s="1"/>
  <c r="C77" i="55647" l="1"/>
  <c r="C81" i="55649"/>
  <c r="C88" i="55641"/>
  <c r="AP89" i="55641"/>
  <c r="AM89" i="55641" s="1"/>
  <c r="AK89" i="55641" s="1"/>
  <c r="T89" i="55641" s="1"/>
  <c r="C87" i="1"/>
  <c r="AQ88" i="1"/>
  <c r="AN88" i="1" s="1"/>
  <c r="AX77" i="1"/>
  <c r="AX78" i="1" s="1"/>
  <c r="AX79" i="1" s="1"/>
  <c r="AX80" i="1" s="1"/>
  <c r="AX81" i="1" s="1"/>
  <c r="AX82" i="1" s="1"/>
  <c r="AX83" i="1" s="1"/>
  <c r="AW76" i="1"/>
  <c r="AW77" i="1" s="1"/>
  <c r="AW78" i="1" s="1"/>
  <c r="AW79" i="1" s="1"/>
  <c r="AW80" i="1" s="1"/>
  <c r="AW81" i="1" s="1"/>
  <c r="AW82" i="1" s="1"/>
  <c r="AV82" i="1"/>
  <c r="AV83" i="1" s="1"/>
  <c r="AV84" i="1" s="1"/>
  <c r="AV85" i="1" s="1"/>
  <c r="AV86" i="1" s="1"/>
  <c r="AV87" i="1" s="1"/>
  <c r="AV88" i="1" s="1"/>
  <c r="AU81" i="1"/>
  <c r="AU82" i="1" s="1"/>
  <c r="AU83" i="1" s="1"/>
  <c r="AU84" i="1" s="1"/>
  <c r="AU85" i="1" s="1"/>
  <c r="AU86" i="1" s="1"/>
  <c r="AU87" i="1" s="1"/>
  <c r="AT80" i="1"/>
  <c r="AT81" i="1" s="1"/>
  <c r="AT82" i="1" s="1"/>
  <c r="AT83" i="1" s="1"/>
  <c r="AT84" i="1" s="1"/>
  <c r="AT85" i="1" s="1"/>
  <c r="AT86" i="1" s="1"/>
  <c r="AS79" i="1"/>
  <c r="AS80" i="1" s="1"/>
  <c r="AS81" i="1" s="1"/>
  <c r="AS82" i="1" s="1"/>
  <c r="AS83" i="1" s="1"/>
  <c r="AS84" i="1" s="1"/>
  <c r="AS85" i="1" s="1"/>
  <c r="AR78" i="1"/>
  <c r="AR79" i="1" s="1"/>
  <c r="AR80" i="1" s="1"/>
  <c r="AR81" i="1" s="1"/>
  <c r="AR82" i="1" s="1"/>
  <c r="AR83" i="1" s="1"/>
  <c r="AR84" i="1" s="1"/>
  <c r="C80" i="55649" l="1"/>
  <c r="C76" i="55647"/>
  <c r="C87" i="55641"/>
  <c r="AP88" i="55641"/>
  <c r="AM88" i="55641" s="1"/>
  <c r="AK88" i="55641" s="1"/>
  <c r="T88" i="55641" s="1"/>
  <c r="C86" i="1"/>
  <c r="AQ87" i="1"/>
  <c r="AN87" i="1" s="1"/>
  <c r="AL87" i="1" s="1"/>
  <c r="T87" i="1" s="1"/>
  <c r="AX84" i="1"/>
  <c r="AX85" i="1" s="1"/>
  <c r="AX86" i="1" s="1"/>
  <c r="AX87" i="1" s="1"/>
  <c r="AX88" i="1" s="1"/>
  <c r="AX89" i="1" s="1"/>
  <c r="AX90" i="1" s="1"/>
  <c r="AW83" i="1"/>
  <c r="AW84" i="1" s="1"/>
  <c r="AW85" i="1" s="1"/>
  <c r="AW86" i="1" s="1"/>
  <c r="AW87" i="1" s="1"/>
  <c r="AW88" i="1" s="1"/>
  <c r="AW89" i="1" s="1"/>
  <c r="AV89" i="1"/>
  <c r="AV90" i="1" s="1"/>
  <c r="AV91" i="1" s="1"/>
  <c r="AV92" i="1" s="1"/>
  <c r="AV93" i="1" s="1"/>
  <c r="AV94" i="1" s="1"/>
  <c r="AV95" i="1" s="1"/>
  <c r="AL88" i="1"/>
  <c r="T88" i="1" s="1"/>
  <c r="AU88" i="1"/>
  <c r="AU89" i="1" s="1"/>
  <c r="AU90" i="1" s="1"/>
  <c r="AU91" i="1" s="1"/>
  <c r="AU92" i="1" s="1"/>
  <c r="AU93" i="1" s="1"/>
  <c r="AU94" i="1" s="1"/>
  <c r="AT87" i="1"/>
  <c r="AT88" i="1" s="1"/>
  <c r="AT89" i="1" s="1"/>
  <c r="AT90" i="1" s="1"/>
  <c r="AT91" i="1" s="1"/>
  <c r="AT92" i="1" s="1"/>
  <c r="AT93" i="1" s="1"/>
  <c r="AS86" i="1"/>
  <c r="AS87" i="1" s="1"/>
  <c r="AS88" i="1" s="1"/>
  <c r="AS89" i="1" s="1"/>
  <c r="AS90" i="1" s="1"/>
  <c r="AS91" i="1" s="1"/>
  <c r="AS92" i="1" s="1"/>
  <c r="AR85" i="1"/>
  <c r="AR86" i="1" s="1"/>
  <c r="AR87" i="1" s="1"/>
  <c r="AR88" i="1" s="1"/>
  <c r="AR89" i="1" s="1"/>
  <c r="AR90" i="1" s="1"/>
  <c r="AR91" i="1" s="1"/>
  <c r="U88" i="55641" l="1"/>
  <c r="W88" i="55641" s="1"/>
  <c r="C79" i="55649"/>
  <c r="C75" i="55647"/>
  <c r="D76" i="55647"/>
  <c r="D80" i="55649"/>
  <c r="D77" i="55647"/>
  <c r="D81" i="55649"/>
  <c r="AP87" i="55641"/>
  <c r="AM87" i="55641" s="1"/>
  <c r="AK87" i="55641" s="1"/>
  <c r="T87" i="55641" s="1"/>
  <c r="U87" i="55641" s="1"/>
  <c r="W87" i="55641" s="1"/>
  <c r="C86" i="55641"/>
  <c r="C85" i="1"/>
  <c r="AQ86" i="1"/>
  <c r="AN86" i="1" s="1"/>
  <c r="AL86" i="1" s="1"/>
  <c r="T86" i="1" s="1"/>
  <c r="AL90" i="1"/>
  <c r="T90" i="1" s="1"/>
  <c r="AX91" i="1"/>
  <c r="AX92" i="1" s="1"/>
  <c r="AX93" i="1" s="1"/>
  <c r="AX94" i="1" s="1"/>
  <c r="AX95" i="1" s="1"/>
  <c r="AX96" i="1" s="1"/>
  <c r="AX97" i="1" s="1"/>
  <c r="AW90" i="1"/>
  <c r="AW91" i="1" s="1"/>
  <c r="AW92" i="1" s="1"/>
  <c r="AW93" i="1" s="1"/>
  <c r="AW94" i="1" s="1"/>
  <c r="AW95" i="1" s="1"/>
  <c r="AW96" i="1" s="1"/>
  <c r="AL89" i="1"/>
  <c r="T89" i="1" s="1"/>
  <c r="U88" i="1"/>
  <c r="X88" i="1"/>
  <c r="AV96" i="1"/>
  <c r="AV97" i="1" s="1"/>
  <c r="AV98" i="1" s="1"/>
  <c r="AL95" i="1"/>
  <c r="T95" i="1" s="1"/>
  <c r="X87" i="1"/>
  <c r="U87" i="1"/>
  <c r="AU95" i="1"/>
  <c r="AU96" i="1" s="1"/>
  <c r="AU97" i="1" s="1"/>
  <c r="AU98" i="1" s="1"/>
  <c r="AL94" i="1"/>
  <c r="T94" i="1" s="1"/>
  <c r="AT94" i="1"/>
  <c r="AT95" i="1" s="1"/>
  <c r="AT96" i="1" s="1"/>
  <c r="AT97" i="1" s="1"/>
  <c r="AT98" i="1" s="1"/>
  <c r="AL93" i="1"/>
  <c r="T93" i="1" s="1"/>
  <c r="AS93" i="1"/>
  <c r="AS94" i="1" s="1"/>
  <c r="AS95" i="1" s="1"/>
  <c r="AS96" i="1" s="1"/>
  <c r="AS97" i="1" s="1"/>
  <c r="AS98" i="1" s="1"/>
  <c r="AL92" i="1"/>
  <c r="T92" i="1" s="1"/>
  <c r="AL91" i="1"/>
  <c r="T91" i="1" s="1"/>
  <c r="AR92" i="1"/>
  <c r="AR93" i="1" s="1"/>
  <c r="AR94" i="1" s="1"/>
  <c r="AR95" i="1" s="1"/>
  <c r="AR96" i="1" s="1"/>
  <c r="AR97" i="1" s="1"/>
  <c r="AR98" i="1" s="1"/>
  <c r="AL98" i="1" s="1"/>
  <c r="T98" i="1" s="1"/>
  <c r="C78" i="55649" l="1"/>
  <c r="C74" i="55647"/>
  <c r="D88" i="55649"/>
  <c r="D84" i="55647"/>
  <c r="U95" i="55641"/>
  <c r="W95" i="55641" s="1"/>
  <c r="U86" i="1"/>
  <c r="D75" i="55647"/>
  <c r="D79" i="55649"/>
  <c r="D87" i="55649"/>
  <c r="D83" i="55647"/>
  <c r="U94" i="55641"/>
  <c r="W94" i="55641" s="1"/>
  <c r="D81" i="55647"/>
  <c r="D85" i="55649"/>
  <c r="U92" i="55641"/>
  <c r="W92" i="55641" s="1"/>
  <c r="D82" i="55647"/>
  <c r="D86" i="55649"/>
  <c r="U93" i="55641"/>
  <c r="W93" i="55641" s="1"/>
  <c r="D78" i="55647"/>
  <c r="D82" i="55649"/>
  <c r="U89" i="55641"/>
  <c r="W89" i="55641" s="1"/>
  <c r="D87" i="55647"/>
  <c r="D91" i="55649"/>
  <c r="U98" i="55641"/>
  <c r="W98" i="55641" s="1"/>
  <c r="D84" i="55649"/>
  <c r="D80" i="55647"/>
  <c r="U91" i="55641"/>
  <c r="W91" i="55641" s="1"/>
  <c r="D79" i="55647"/>
  <c r="D83" i="55649"/>
  <c r="U90" i="55641"/>
  <c r="W90" i="55641" s="1"/>
  <c r="AP86" i="55641"/>
  <c r="AM86" i="55641" s="1"/>
  <c r="AK86" i="55641" s="1"/>
  <c r="T86" i="55641" s="1"/>
  <c r="U86" i="55641" s="1"/>
  <c r="W86" i="55641" s="1"/>
  <c r="C85" i="55641"/>
  <c r="X86" i="1"/>
  <c r="C84" i="1"/>
  <c r="AQ85" i="1"/>
  <c r="AN85" i="1" s="1"/>
  <c r="AL85" i="1" s="1"/>
  <c r="T85" i="1" s="1"/>
  <c r="AL97" i="1"/>
  <c r="T97" i="1" s="1"/>
  <c r="AX98" i="1"/>
  <c r="X90" i="1"/>
  <c r="U90" i="1"/>
  <c r="X89" i="1"/>
  <c r="U89" i="1"/>
  <c r="AL96" i="1"/>
  <c r="T96" i="1" s="1"/>
  <c r="AW97" i="1"/>
  <c r="AW98" i="1" s="1"/>
  <c r="U95" i="1"/>
  <c r="X95" i="1"/>
  <c r="X94" i="1"/>
  <c r="U94" i="1"/>
  <c r="U93" i="1"/>
  <c r="X93" i="1"/>
  <c r="U92" i="1"/>
  <c r="X92" i="1"/>
  <c r="U98" i="1"/>
  <c r="X98" i="1"/>
  <c r="U91" i="1"/>
  <c r="X91" i="1"/>
  <c r="C73" i="55647" l="1"/>
  <c r="C77" i="55649"/>
  <c r="D89" i="55649"/>
  <c r="D85" i="55647"/>
  <c r="U96" i="55641"/>
  <c r="W96" i="55641" s="1"/>
  <c r="D74" i="55647"/>
  <c r="D78" i="55649"/>
  <c r="D90" i="55649"/>
  <c r="D86" i="55647"/>
  <c r="U97" i="55641"/>
  <c r="W97" i="55641" s="1"/>
  <c r="AP85" i="55641"/>
  <c r="AM85" i="55641" s="1"/>
  <c r="AK85" i="55641" s="1"/>
  <c r="T85" i="55641" s="1"/>
  <c r="U85" i="55641" s="1"/>
  <c r="W85" i="55641" s="1"/>
  <c r="C84" i="55641"/>
  <c r="U85" i="1"/>
  <c r="X85" i="1"/>
  <c r="C83" i="1"/>
  <c r="AQ84" i="1"/>
  <c r="AN84" i="1" s="1"/>
  <c r="AL84" i="1" s="1"/>
  <c r="T84" i="1" s="1"/>
  <c r="X97" i="1"/>
  <c r="U97" i="1"/>
  <c r="U96" i="1"/>
  <c r="X96" i="1"/>
  <c r="C76" i="55649" l="1"/>
  <c r="C72" i="55647"/>
  <c r="D77" i="55649"/>
  <c r="D73" i="55647"/>
  <c r="AP84" i="55641"/>
  <c r="AM84" i="55641" s="1"/>
  <c r="AK84" i="55641" s="1"/>
  <c r="T84" i="55641" s="1"/>
  <c r="U84" i="55641" s="1"/>
  <c r="W84" i="55641" s="1"/>
  <c r="C83" i="55641"/>
  <c r="U84" i="1"/>
  <c r="X84" i="1"/>
  <c r="C82" i="1"/>
  <c r="AQ83" i="1"/>
  <c r="AN83" i="1" s="1"/>
  <c r="AL83" i="1" s="1"/>
  <c r="T83" i="1" s="1"/>
  <c r="C75" i="55649" l="1"/>
  <c r="C71" i="55647"/>
  <c r="D76" i="55649"/>
  <c r="D72" i="55647"/>
  <c r="AP83" i="55641"/>
  <c r="AM83" i="55641" s="1"/>
  <c r="AK83" i="55641" s="1"/>
  <c r="T83" i="55641" s="1"/>
  <c r="U83" i="55641" s="1"/>
  <c r="W83" i="55641" s="1"/>
  <c r="C82" i="55641"/>
  <c r="U83" i="1"/>
  <c r="X83" i="1"/>
  <c r="C81" i="1"/>
  <c r="AQ82" i="1"/>
  <c r="AN82" i="1" s="1"/>
  <c r="AL82" i="1" s="1"/>
  <c r="T82" i="1" s="1"/>
  <c r="C70" i="55647" l="1"/>
  <c r="C74" i="55649"/>
  <c r="D71" i="55647"/>
  <c r="D75" i="55649"/>
  <c r="AP82" i="55641"/>
  <c r="AM82" i="55641" s="1"/>
  <c r="AK82" i="55641" s="1"/>
  <c r="T82" i="55641" s="1"/>
  <c r="U82" i="55641" s="1"/>
  <c r="W82" i="55641" s="1"/>
  <c r="C81" i="55641"/>
  <c r="X82" i="1"/>
  <c r="U82" i="1"/>
  <c r="C80" i="1"/>
  <c r="AQ81" i="1"/>
  <c r="AN81" i="1" s="1"/>
  <c r="AL81" i="1" s="1"/>
  <c r="T81" i="1" s="1"/>
  <c r="C69" i="55647" l="1"/>
  <c r="C73" i="55649"/>
  <c r="D74" i="55649"/>
  <c r="D70" i="55647"/>
  <c r="C80" i="55641"/>
  <c r="AP81" i="55641"/>
  <c r="AM81" i="55641" s="1"/>
  <c r="AK81" i="55641" s="1"/>
  <c r="T81" i="55641" s="1"/>
  <c r="U81" i="55641" s="1"/>
  <c r="W81" i="55641" s="1"/>
  <c r="U81" i="1"/>
  <c r="X81" i="1"/>
  <c r="C79" i="1"/>
  <c r="AQ80" i="1"/>
  <c r="AN80" i="1" s="1"/>
  <c r="AL80" i="1" s="1"/>
  <c r="T80" i="1" s="1"/>
  <c r="C72" i="55649" l="1"/>
  <c r="C68" i="55647"/>
  <c r="D73" i="55649"/>
  <c r="D69" i="55647"/>
  <c r="AP80" i="55641"/>
  <c r="AM80" i="55641" s="1"/>
  <c r="AK80" i="55641" s="1"/>
  <c r="T80" i="55641" s="1"/>
  <c r="U80" i="55641" s="1"/>
  <c r="W80" i="55641" s="1"/>
  <c r="C79" i="55641"/>
  <c r="U80" i="1"/>
  <c r="X80" i="1"/>
  <c r="C78" i="1"/>
  <c r="AQ79" i="1"/>
  <c r="AN79" i="1" s="1"/>
  <c r="AL79" i="1" s="1"/>
  <c r="T79" i="1" s="1"/>
  <c r="C71" i="55649" l="1"/>
  <c r="C67" i="55647"/>
  <c r="D68" i="55647"/>
  <c r="D72" i="55649"/>
  <c r="AP79" i="55641"/>
  <c r="AM79" i="55641" s="1"/>
  <c r="AK79" i="55641" s="1"/>
  <c r="T79" i="55641" s="1"/>
  <c r="U79" i="55641" s="1"/>
  <c r="W79" i="55641" s="1"/>
  <c r="C78" i="55641"/>
  <c r="U79" i="1"/>
  <c r="X79" i="1"/>
  <c r="C77" i="1"/>
  <c r="AQ78" i="1"/>
  <c r="AN78" i="1" s="1"/>
  <c r="AL78" i="1" s="1"/>
  <c r="T78" i="1" s="1"/>
  <c r="C70" i="55649" l="1"/>
  <c r="C66" i="55647"/>
  <c r="D71" i="55649"/>
  <c r="D67" i="55647"/>
  <c r="AP78" i="55641"/>
  <c r="AM78" i="55641" s="1"/>
  <c r="AK78" i="55641" s="1"/>
  <c r="T78" i="55641" s="1"/>
  <c r="U78" i="55641" s="1"/>
  <c r="W78" i="55641" s="1"/>
  <c r="C77" i="55641"/>
  <c r="U78" i="1"/>
  <c r="X78" i="1"/>
  <c r="C76" i="1"/>
  <c r="AQ77" i="1"/>
  <c r="AN77" i="1" s="1"/>
  <c r="AL77" i="1" s="1"/>
  <c r="T77" i="1" s="1"/>
  <c r="C65" i="55647" l="1"/>
  <c r="C69" i="55649"/>
  <c r="D66" i="55647"/>
  <c r="D70" i="55649"/>
  <c r="AP77" i="55641"/>
  <c r="AM77" i="55641" s="1"/>
  <c r="AK77" i="55641" s="1"/>
  <c r="T77" i="55641" s="1"/>
  <c r="U77" i="55641" s="1"/>
  <c r="W77" i="55641" s="1"/>
  <c r="C76" i="55641"/>
  <c r="X77" i="1"/>
  <c r="U77" i="1"/>
  <c r="C75" i="1"/>
  <c r="AQ76" i="1"/>
  <c r="AN76" i="1" s="1"/>
  <c r="AL76" i="1" s="1"/>
  <c r="T76" i="1" s="1"/>
  <c r="C68" i="55649" l="1"/>
  <c r="C64" i="55647"/>
  <c r="D69" i="55649"/>
  <c r="D65" i="55647"/>
  <c r="AP76" i="55641"/>
  <c r="AM76" i="55641" s="1"/>
  <c r="AK76" i="55641" s="1"/>
  <c r="T76" i="55641" s="1"/>
  <c r="U76" i="55641" s="1"/>
  <c r="W76" i="55641" s="1"/>
  <c r="C75" i="55641"/>
  <c r="X76" i="1"/>
  <c r="U76" i="1"/>
  <c r="C74" i="1"/>
  <c r="AQ75" i="1"/>
  <c r="AN75" i="1" s="1"/>
  <c r="AL75" i="1" s="1"/>
  <c r="T75" i="1" s="1"/>
  <c r="C67" i="55649" l="1"/>
  <c r="C63" i="55647"/>
  <c r="D68" i="55649"/>
  <c r="D64" i="55647"/>
  <c r="AP75" i="55641"/>
  <c r="AM75" i="55641" s="1"/>
  <c r="AK75" i="55641" s="1"/>
  <c r="T75" i="55641" s="1"/>
  <c r="U75" i="55641" s="1"/>
  <c r="W75" i="55641" s="1"/>
  <c r="C74" i="55641"/>
  <c r="U75" i="1"/>
  <c r="X75" i="1"/>
  <c r="C73" i="1"/>
  <c r="AQ74" i="1"/>
  <c r="AN74" i="1" s="1"/>
  <c r="AL74" i="1" s="1"/>
  <c r="T74" i="1" s="1"/>
  <c r="C66" i="55649" l="1"/>
  <c r="G46" i="55647"/>
  <c r="C62" i="55647"/>
  <c r="D63" i="55647"/>
  <c r="D67" i="55649"/>
  <c r="AP74" i="55641"/>
  <c r="AM74" i="55641" s="1"/>
  <c r="AK74" i="55641" s="1"/>
  <c r="T74" i="55641" s="1"/>
  <c r="U74" i="55641" s="1"/>
  <c r="W74" i="55641" s="1"/>
  <c r="C73" i="55641"/>
  <c r="U74" i="1"/>
  <c r="X74" i="1"/>
  <c r="C72" i="1"/>
  <c r="AQ73" i="1"/>
  <c r="AN73" i="1" s="1"/>
  <c r="AL73" i="1" s="1"/>
  <c r="T73" i="1" s="1"/>
  <c r="G45" i="55647" l="1"/>
  <c r="C65" i="55649"/>
  <c r="H46" i="55647"/>
  <c r="D66" i="55649"/>
  <c r="D62" i="55647"/>
  <c r="C72" i="55641"/>
  <c r="AP73" i="55641"/>
  <c r="AM73" i="55641" s="1"/>
  <c r="AK73" i="55641" s="1"/>
  <c r="T73" i="55641" s="1"/>
  <c r="U73" i="55641" s="1"/>
  <c r="W73" i="55641" s="1"/>
  <c r="C71" i="1"/>
  <c r="AQ72" i="1"/>
  <c r="AN72" i="1" s="1"/>
  <c r="AL72" i="1" s="1"/>
  <c r="T72" i="1" s="1"/>
  <c r="U73" i="1"/>
  <c r="X73" i="1"/>
  <c r="G44" i="55647" l="1"/>
  <c r="C64" i="55649"/>
  <c r="H45" i="55647"/>
  <c r="D65" i="55649"/>
  <c r="AP72" i="55641"/>
  <c r="AM72" i="55641" s="1"/>
  <c r="AK72" i="55641" s="1"/>
  <c r="T72" i="55641" s="1"/>
  <c r="U72" i="55641" s="1"/>
  <c r="W72" i="55641" s="1"/>
  <c r="C71" i="55641"/>
  <c r="X72" i="1"/>
  <c r="U72" i="1"/>
  <c r="C70" i="1"/>
  <c r="AQ71" i="1"/>
  <c r="AN71" i="1" s="1"/>
  <c r="AL71" i="1" s="1"/>
  <c r="T71" i="1" s="1"/>
  <c r="C63" i="55649" l="1"/>
  <c r="G43" i="55647"/>
  <c r="H44" i="55647"/>
  <c r="D64" i="55649"/>
  <c r="AP71" i="55641"/>
  <c r="AM71" i="55641" s="1"/>
  <c r="AK71" i="55641" s="1"/>
  <c r="T71" i="55641" s="1"/>
  <c r="U71" i="55641" s="1"/>
  <c r="W71" i="55641" s="1"/>
  <c r="C70" i="55641"/>
  <c r="X71" i="1"/>
  <c r="U71" i="1"/>
  <c r="C69" i="1"/>
  <c r="AQ70" i="1"/>
  <c r="AN70" i="1" s="1"/>
  <c r="AL70" i="1" s="1"/>
  <c r="T70" i="1" s="1"/>
  <c r="C62" i="55649" l="1"/>
  <c r="G42" i="55647"/>
  <c r="D63" i="55649"/>
  <c r="H43" i="55647"/>
  <c r="AP70" i="55641"/>
  <c r="AM70" i="55641" s="1"/>
  <c r="AK70" i="55641" s="1"/>
  <c r="T70" i="55641" s="1"/>
  <c r="U70" i="55641" s="1"/>
  <c r="W70" i="55641" s="1"/>
  <c r="C69" i="55641"/>
  <c r="U70" i="1"/>
  <c r="X70" i="1"/>
  <c r="C68" i="1"/>
  <c r="AQ69" i="1"/>
  <c r="AN69" i="1" s="1"/>
  <c r="AL69" i="1" s="1"/>
  <c r="T69" i="1" s="1"/>
  <c r="G41" i="55647" l="1"/>
  <c r="C61" i="55649"/>
  <c r="H42" i="55647"/>
  <c r="D62" i="55649"/>
  <c r="AP69" i="55641"/>
  <c r="AM69" i="55641" s="1"/>
  <c r="AK69" i="55641" s="1"/>
  <c r="T69" i="55641" s="1"/>
  <c r="U69" i="55641" s="1"/>
  <c r="W69" i="55641" s="1"/>
  <c r="C68" i="55641"/>
  <c r="U69" i="1"/>
  <c r="X69" i="1"/>
  <c r="C67" i="1"/>
  <c r="AQ68" i="1"/>
  <c r="AN68" i="1" s="1"/>
  <c r="AL68" i="1" s="1"/>
  <c r="T68" i="1" s="1"/>
  <c r="G40" i="55647" l="1"/>
  <c r="C60" i="55649"/>
  <c r="H41" i="55647"/>
  <c r="D61" i="55649"/>
  <c r="C67" i="55641"/>
  <c r="AP68" i="55641"/>
  <c r="AM68" i="55641" s="1"/>
  <c r="AK68" i="55641" s="1"/>
  <c r="T68" i="55641" s="1"/>
  <c r="U68" i="55641" s="1"/>
  <c r="W68" i="55641" s="1"/>
  <c r="U68" i="1"/>
  <c r="X68" i="1"/>
  <c r="C66" i="1"/>
  <c r="AQ67" i="1"/>
  <c r="AN67" i="1" s="1"/>
  <c r="AL67" i="1" s="1"/>
  <c r="T67" i="1" s="1"/>
  <c r="C59" i="55649" l="1"/>
  <c r="G39" i="55647"/>
  <c r="D60" i="55649"/>
  <c r="H40" i="55647"/>
  <c r="C66" i="55641"/>
  <c r="AP67" i="55641"/>
  <c r="AM67" i="55641" s="1"/>
  <c r="AK67" i="55641" s="1"/>
  <c r="T67" i="55641" s="1"/>
  <c r="U67" i="55641" s="1"/>
  <c r="W67" i="55641" s="1"/>
  <c r="U67" i="1"/>
  <c r="X67" i="1"/>
  <c r="C65" i="1"/>
  <c r="AQ66" i="1"/>
  <c r="AN66" i="1" s="1"/>
  <c r="AL66" i="1" s="1"/>
  <c r="T66" i="1" s="1"/>
  <c r="C58" i="55649" l="1"/>
  <c r="G38" i="55647"/>
  <c r="H39" i="55647"/>
  <c r="D59" i="55649"/>
  <c r="C65" i="55641"/>
  <c r="AP66" i="55641"/>
  <c r="AM66" i="55641" s="1"/>
  <c r="AK66" i="55641" s="1"/>
  <c r="T66" i="55641" s="1"/>
  <c r="U66" i="55641" s="1"/>
  <c r="W66" i="55641" s="1"/>
  <c r="C64" i="1"/>
  <c r="AQ65" i="1"/>
  <c r="AN65" i="1" s="1"/>
  <c r="AL65" i="1" s="1"/>
  <c r="T65" i="1" s="1"/>
  <c r="U66" i="1"/>
  <c r="X66" i="1"/>
  <c r="G37" i="55647" l="1"/>
  <c r="C57" i="55649"/>
  <c r="H38" i="55647"/>
  <c r="D58" i="55649"/>
  <c r="AP65" i="55641"/>
  <c r="AM65" i="55641" s="1"/>
  <c r="AK65" i="55641" s="1"/>
  <c r="T65" i="55641" s="1"/>
  <c r="U65" i="55641" s="1"/>
  <c r="W65" i="55641" s="1"/>
  <c r="C64" i="55641"/>
  <c r="U65" i="1"/>
  <c r="X65" i="1"/>
  <c r="C63" i="1"/>
  <c r="AQ64" i="1"/>
  <c r="AN64" i="1" s="1"/>
  <c r="AL64" i="1" s="1"/>
  <c r="T64" i="1" s="1"/>
  <c r="G36" i="55647" l="1"/>
  <c r="C56" i="55649"/>
  <c r="H37" i="55647"/>
  <c r="D57" i="55649"/>
  <c r="AP64" i="55641"/>
  <c r="AM64" i="55641" s="1"/>
  <c r="AK64" i="55641" s="1"/>
  <c r="T64" i="55641" s="1"/>
  <c r="U64" i="55641" s="1"/>
  <c r="W64" i="55641" s="1"/>
  <c r="C63" i="55641"/>
  <c r="U64" i="1"/>
  <c r="X64" i="1"/>
  <c r="C62" i="1"/>
  <c r="AQ63" i="1"/>
  <c r="AN63" i="1" s="1"/>
  <c r="AL63" i="1" s="1"/>
  <c r="T63" i="1" s="1"/>
  <c r="C55" i="55649" l="1"/>
  <c r="G35" i="55647"/>
  <c r="D56" i="55649"/>
  <c r="H36" i="55647"/>
  <c r="C62" i="55641"/>
  <c r="AP63" i="55641"/>
  <c r="AM63" i="55641" s="1"/>
  <c r="AK63" i="55641" s="1"/>
  <c r="T63" i="55641" s="1"/>
  <c r="U63" i="55641" s="1"/>
  <c r="W63" i="55641" s="1"/>
  <c r="X63" i="1"/>
  <c r="U63" i="1"/>
  <c r="C61" i="1"/>
  <c r="AQ62" i="1"/>
  <c r="AN62" i="1" s="1"/>
  <c r="AL62" i="1" s="1"/>
  <c r="T62" i="1" s="1"/>
  <c r="C54" i="55649" l="1"/>
  <c r="G34" i="55647"/>
  <c r="D55" i="55649"/>
  <c r="H35" i="55647"/>
  <c r="C61" i="55641"/>
  <c r="AP62" i="55641"/>
  <c r="AM62" i="55641" s="1"/>
  <c r="AK62" i="55641" s="1"/>
  <c r="T62" i="55641" s="1"/>
  <c r="U62" i="55641" s="1"/>
  <c r="W62" i="55641" s="1"/>
  <c r="U62" i="1"/>
  <c r="X62" i="1"/>
  <c r="C60" i="1"/>
  <c r="AQ61" i="1"/>
  <c r="AN61" i="1" s="1"/>
  <c r="AL61" i="1" s="1"/>
  <c r="T61" i="1" s="1"/>
  <c r="G33" i="55647" l="1"/>
  <c r="C53" i="55649"/>
  <c r="H34" i="55647"/>
  <c r="D54" i="55649"/>
  <c r="AP61" i="55641"/>
  <c r="AM61" i="55641" s="1"/>
  <c r="AK61" i="55641" s="1"/>
  <c r="T61" i="55641" s="1"/>
  <c r="U61" i="55641" s="1"/>
  <c r="W61" i="55641" s="1"/>
  <c r="C60" i="55641"/>
  <c r="C59" i="1"/>
  <c r="AQ60" i="1"/>
  <c r="AN60" i="1" s="1"/>
  <c r="AL60" i="1" s="1"/>
  <c r="T60" i="1" s="1"/>
  <c r="U61" i="1"/>
  <c r="X61" i="1"/>
  <c r="G32" i="55647" l="1"/>
  <c r="C52" i="55649"/>
  <c r="H33" i="55647"/>
  <c r="D53" i="55649"/>
  <c r="AP60" i="55641"/>
  <c r="AM60" i="55641" s="1"/>
  <c r="AK60" i="55641" s="1"/>
  <c r="T60" i="55641" s="1"/>
  <c r="U60" i="55641" s="1"/>
  <c r="W60" i="55641" s="1"/>
  <c r="C59" i="55641"/>
  <c r="U60" i="1"/>
  <c r="X60" i="1"/>
  <c r="C58" i="1"/>
  <c r="AQ59" i="1"/>
  <c r="AN59" i="1" s="1"/>
  <c r="AL59" i="1" s="1"/>
  <c r="T59" i="1" s="1"/>
  <c r="C51" i="55649" l="1"/>
  <c r="G31" i="55647"/>
  <c r="D52" i="55649"/>
  <c r="H32" i="55647"/>
  <c r="AP59" i="55641"/>
  <c r="AM59" i="55641" s="1"/>
  <c r="AK59" i="55641" s="1"/>
  <c r="T59" i="55641" s="1"/>
  <c r="U59" i="55641" s="1"/>
  <c r="W59" i="55641" s="1"/>
  <c r="C58" i="55641"/>
  <c r="U59" i="1"/>
  <c r="X59" i="1"/>
  <c r="C57" i="1"/>
  <c r="AQ58" i="1"/>
  <c r="AN58" i="1" s="1"/>
  <c r="AL58" i="1" s="1"/>
  <c r="T58" i="1" s="1"/>
  <c r="C50" i="55649" l="1"/>
  <c r="G30" i="55647"/>
  <c r="H31" i="55647"/>
  <c r="D51" i="55649"/>
  <c r="C57" i="55641"/>
  <c r="AP58" i="55641"/>
  <c r="AM58" i="55641" s="1"/>
  <c r="AK58" i="55641" s="1"/>
  <c r="T58" i="55641" s="1"/>
  <c r="U58" i="55641" s="1"/>
  <c r="W58" i="55641" s="1"/>
  <c r="X58" i="1"/>
  <c r="U58" i="1"/>
  <c r="C56" i="1"/>
  <c r="AQ57" i="1"/>
  <c r="AN57" i="1" s="1"/>
  <c r="AL57" i="1" s="1"/>
  <c r="T57" i="1" s="1"/>
  <c r="G29" i="55647" l="1"/>
  <c r="C49" i="55649"/>
  <c r="H30" i="55647"/>
  <c r="D50" i="55649"/>
  <c r="AP57" i="55641"/>
  <c r="AM57" i="55641" s="1"/>
  <c r="AK57" i="55641" s="1"/>
  <c r="T57" i="55641" s="1"/>
  <c r="U57" i="55641" s="1"/>
  <c r="W57" i="55641" s="1"/>
  <c r="C56" i="55641"/>
  <c r="C55" i="1"/>
  <c r="AQ56" i="1"/>
  <c r="AN56" i="1" s="1"/>
  <c r="AL56" i="1" s="1"/>
  <c r="T56" i="1" s="1"/>
  <c r="U57" i="1"/>
  <c r="X57" i="1"/>
  <c r="G28" i="55647" l="1"/>
  <c r="C48" i="55649"/>
  <c r="H29" i="55647"/>
  <c r="D49" i="55649"/>
  <c r="AP56" i="55641"/>
  <c r="AM56" i="55641" s="1"/>
  <c r="AK56" i="55641" s="1"/>
  <c r="T56" i="55641" s="1"/>
  <c r="U56" i="55641" s="1"/>
  <c r="W56" i="55641" s="1"/>
  <c r="C55" i="55641"/>
  <c r="U56" i="1"/>
  <c r="X56" i="1"/>
  <c r="C54" i="1"/>
  <c r="AQ55" i="1"/>
  <c r="AN55" i="1" s="1"/>
  <c r="AL55" i="1" s="1"/>
  <c r="T55" i="1" s="1"/>
  <c r="C47" i="55649" l="1"/>
  <c r="G27" i="55647"/>
  <c r="D48" i="55649"/>
  <c r="H28" i="55647"/>
  <c r="AP55" i="55641"/>
  <c r="AM55" i="55641" s="1"/>
  <c r="AK55" i="55641" s="1"/>
  <c r="T55" i="55641" s="1"/>
  <c r="U55" i="55641" s="1"/>
  <c r="W55" i="55641" s="1"/>
  <c r="C54" i="55641"/>
  <c r="U55" i="1"/>
  <c r="X55" i="1"/>
  <c r="C53" i="1"/>
  <c r="AQ54" i="1"/>
  <c r="AN54" i="1" s="1"/>
  <c r="AL54" i="1" s="1"/>
  <c r="T54" i="1" s="1"/>
  <c r="C46" i="55649" l="1"/>
  <c r="G26" i="55647"/>
  <c r="D47" i="55649"/>
  <c r="H27" i="55647"/>
  <c r="C53" i="55641"/>
  <c r="AP54" i="55641"/>
  <c r="AM54" i="55641" s="1"/>
  <c r="AK54" i="55641" s="1"/>
  <c r="T54" i="55641" s="1"/>
  <c r="U54" i="55641" s="1"/>
  <c r="W54" i="55641" s="1"/>
  <c r="U54" i="1"/>
  <c r="X54" i="1"/>
  <c r="C52" i="1"/>
  <c r="AQ53" i="1"/>
  <c r="AN53" i="1" s="1"/>
  <c r="AL53" i="1" s="1"/>
  <c r="T53" i="1" s="1"/>
  <c r="G25" i="55647" l="1"/>
  <c r="C45" i="55649"/>
  <c r="H26" i="55647"/>
  <c r="D46" i="55649"/>
  <c r="AP53" i="55641"/>
  <c r="AM53" i="55641" s="1"/>
  <c r="AK53" i="55641" s="1"/>
  <c r="T53" i="55641" s="1"/>
  <c r="U53" i="55641" s="1"/>
  <c r="W53" i="55641" s="1"/>
  <c r="C52" i="55641"/>
  <c r="U53" i="1"/>
  <c r="X53" i="1"/>
  <c r="C51" i="1"/>
  <c r="AQ52" i="1"/>
  <c r="AN52" i="1" s="1"/>
  <c r="AL52" i="1" s="1"/>
  <c r="T52" i="1" s="1"/>
  <c r="G24" i="55647" l="1"/>
  <c r="C44" i="55649"/>
  <c r="H25" i="55647"/>
  <c r="D45" i="55649"/>
  <c r="C51" i="55641"/>
  <c r="AP52" i="55641"/>
  <c r="AM52" i="55641" s="1"/>
  <c r="AK52" i="55641" s="1"/>
  <c r="T52" i="55641" s="1"/>
  <c r="U52" i="55641" s="1"/>
  <c r="W52" i="55641" s="1"/>
  <c r="U52" i="1"/>
  <c r="X52" i="1"/>
  <c r="C50" i="1"/>
  <c r="AQ51" i="1"/>
  <c r="AN51" i="1" s="1"/>
  <c r="AL51" i="1" s="1"/>
  <c r="T51" i="1" s="1"/>
  <c r="C43" i="55649" l="1"/>
  <c r="G23" i="55647"/>
  <c r="D44" i="55649"/>
  <c r="H24" i="55647"/>
  <c r="AP51" i="55641"/>
  <c r="AM51" i="55641" s="1"/>
  <c r="AK51" i="55641" s="1"/>
  <c r="T51" i="55641" s="1"/>
  <c r="U51" i="55641" s="1"/>
  <c r="W51" i="55641" s="1"/>
  <c r="C50" i="55641"/>
  <c r="U51" i="1"/>
  <c r="X51" i="1"/>
  <c r="C49" i="1"/>
  <c r="AQ50" i="1"/>
  <c r="AN50" i="1" s="1"/>
  <c r="AL50" i="1" s="1"/>
  <c r="T50" i="1" s="1"/>
  <c r="C42" i="55649" l="1"/>
  <c r="G22" i="55647"/>
  <c r="D43" i="55649"/>
  <c r="H23" i="55647"/>
  <c r="C49" i="55641"/>
  <c r="AP50" i="55641"/>
  <c r="AM50" i="55641" s="1"/>
  <c r="AK50" i="55641" s="1"/>
  <c r="T50" i="55641" s="1"/>
  <c r="U50" i="55641" s="1"/>
  <c r="W50" i="55641" s="1"/>
  <c r="U50" i="1"/>
  <c r="X50" i="1"/>
  <c r="C48" i="1"/>
  <c r="AQ49" i="1"/>
  <c r="AN49" i="1" s="1"/>
  <c r="AL49" i="1" s="1"/>
  <c r="T49" i="1" s="1"/>
  <c r="G21" i="55647" l="1"/>
  <c r="C41" i="55649"/>
  <c r="H22" i="55647"/>
  <c r="D42" i="55649"/>
  <c r="AP49" i="55641"/>
  <c r="AM49" i="55641" s="1"/>
  <c r="AK49" i="55641" s="1"/>
  <c r="T49" i="55641" s="1"/>
  <c r="U49" i="55641" s="1"/>
  <c r="W49" i="55641" s="1"/>
  <c r="C48" i="55641"/>
  <c r="X49" i="1"/>
  <c r="U49" i="1"/>
  <c r="C47" i="1"/>
  <c r="AQ48" i="1"/>
  <c r="AN48" i="1" s="1"/>
  <c r="AL48" i="1" s="1"/>
  <c r="T48" i="1" s="1"/>
  <c r="G20" i="55647" l="1"/>
  <c r="C40" i="55649"/>
  <c r="D41" i="55649"/>
  <c r="H21" i="55647"/>
  <c r="C47" i="55641"/>
  <c r="AP48" i="55641"/>
  <c r="AM48" i="55641" s="1"/>
  <c r="AK48" i="55641" s="1"/>
  <c r="T48" i="55641" s="1"/>
  <c r="U48" i="55641" s="1"/>
  <c r="W48" i="55641" s="1"/>
  <c r="C46" i="1"/>
  <c r="AQ47" i="1"/>
  <c r="AN47" i="1" s="1"/>
  <c r="AL47" i="1" s="1"/>
  <c r="T47" i="1" s="1"/>
  <c r="X48" i="1"/>
  <c r="U48" i="1"/>
  <c r="C39" i="55649" l="1"/>
  <c r="G19" i="55647"/>
  <c r="H20" i="55647"/>
  <c r="D40" i="55649"/>
  <c r="AP47" i="55641"/>
  <c r="AM47" i="55641" s="1"/>
  <c r="AK47" i="55641" s="1"/>
  <c r="T47" i="55641" s="1"/>
  <c r="U47" i="55641" s="1"/>
  <c r="W47" i="55641" s="1"/>
  <c r="C46" i="55641"/>
  <c r="C45" i="1"/>
  <c r="AQ46" i="1"/>
  <c r="AN46" i="1" s="1"/>
  <c r="AL46" i="1" s="1"/>
  <c r="T46" i="1" s="1"/>
  <c r="U47" i="1"/>
  <c r="X47" i="1"/>
  <c r="C38" i="55649" l="1"/>
  <c r="G18" i="55647"/>
  <c r="D39" i="55649"/>
  <c r="H19" i="55647"/>
  <c r="AP46" i="55641"/>
  <c r="AM46" i="55641" s="1"/>
  <c r="AK46" i="55641" s="1"/>
  <c r="T46" i="55641" s="1"/>
  <c r="U46" i="55641" s="1"/>
  <c r="W46" i="55641" s="1"/>
  <c r="C45" i="55641"/>
  <c r="C44" i="1"/>
  <c r="AQ45" i="1"/>
  <c r="AN45" i="1" s="1"/>
  <c r="AL45" i="1" s="1"/>
  <c r="T45" i="1" s="1"/>
  <c r="U46" i="1"/>
  <c r="X46" i="1"/>
  <c r="G17" i="55647" l="1"/>
  <c r="C37" i="55649"/>
  <c r="D38" i="55649"/>
  <c r="H18" i="55647"/>
  <c r="AP45" i="55641"/>
  <c r="AM45" i="55641" s="1"/>
  <c r="AK45" i="55641" s="1"/>
  <c r="T45" i="55641" s="1"/>
  <c r="U45" i="55641" s="1"/>
  <c r="W45" i="55641" s="1"/>
  <c r="C44" i="55641"/>
  <c r="X45" i="1"/>
  <c r="U45" i="1"/>
  <c r="C43" i="1"/>
  <c r="AQ44" i="1"/>
  <c r="AN44" i="1" s="1"/>
  <c r="AL44" i="1" s="1"/>
  <c r="T44" i="1" s="1"/>
  <c r="G16" i="55647" l="1"/>
  <c r="C36" i="55649"/>
  <c r="H17" i="55647"/>
  <c r="D37" i="55649"/>
  <c r="AP44" i="55641"/>
  <c r="AM44" i="55641" s="1"/>
  <c r="AK44" i="55641" s="1"/>
  <c r="T44" i="55641" s="1"/>
  <c r="U44" i="55641" s="1"/>
  <c r="W44" i="55641" s="1"/>
  <c r="C43" i="55641"/>
  <c r="X44" i="1"/>
  <c r="U44" i="1"/>
  <c r="C42" i="1"/>
  <c r="AQ43" i="1"/>
  <c r="AN43" i="1" s="1"/>
  <c r="AL43" i="1" s="1"/>
  <c r="T43" i="1" s="1"/>
  <c r="C35" i="55649" l="1"/>
  <c r="G15" i="55647"/>
  <c r="D36" i="55649"/>
  <c r="H16" i="55647"/>
  <c r="C42" i="55641"/>
  <c r="AP43" i="55641"/>
  <c r="AM43" i="55641" s="1"/>
  <c r="AK43" i="55641" s="1"/>
  <c r="T43" i="55641" s="1"/>
  <c r="U43" i="55641" s="1"/>
  <c r="W43" i="55641" s="1"/>
  <c r="U43" i="1"/>
  <c r="X43" i="1"/>
  <c r="Z98" i="1" s="1"/>
  <c r="AA98" i="1" s="1"/>
  <c r="C41" i="1"/>
  <c r="C34" i="55649" s="1"/>
  <c r="AQ42" i="1"/>
  <c r="AN42" i="1" s="1"/>
  <c r="AL42" i="1" s="1"/>
  <c r="T42" i="1" s="1"/>
  <c r="H15" i="55647" l="1"/>
  <c r="D35" i="55649"/>
  <c r="AP42" i="55641"/>
  <c r="AM42" i="55641" s="1"/>
  <c r="AK42" i="55641" s="1"/>
  <c r="T42" i="55641" s="1"/>
  <c r="U42" i="55641" s="1"/>
  <c r="W42" i="55641" s="1"/>
  <c r="C41" i="55641"/>
  <c r="U42" i="1"/>
  <c r="X42" i="1"/>
  <c r="Z97" i="1" s="1"/>
  <c r="AA97" i="1" s="1"/>
  <c r="C40" i="1"/>
  <c r="AQ41" i="1"/>
  <c r="AN41" i="1" s="1"/>
  <c r="AL41" i="1" s="1"/>
  <c r="T41" i="1" s="1"/>
  <c r="D34" i="55649" s="1"/>
  <c r="C33" i="55649" l="1"/>
  <c r="C46" i="55647"/>
  <c r="C40" i="55641"/>
  <c r="AP41" i="55641"/>
  <c r="AM41" i="55641" s="1"/>
  <c r="AK41" i="55641" s="1"/>
  <c r="T41" i="55641" s="1"/>
  <c r="U41" i="55641" s="1"/>
  <c r="W41" i="55641" s="1"/>
  <c r="X41" i="1"/>
  <c r="Z96" i="1" s="1"/>
  <c r="AA96" i="1" s="1"/>
  <c r="U41" i="1"/>
  <c r="C39" i="1"/>
  <c r="AQ40" i="1"/>
  <c r="AN40" i="1" s="1"/>
  <c r="AL40" i="1" s="1"/>
  <c r="T40" i="1" s="1"/>
  <c r="C32" i="55649" l="1"/>
  <c r="C45" i="55647"/>
  <c r="D46" i="55647"/>
  <c r="D33" i="55649"/>
  <c r="AP40" i="55641"/>
  <c r="AM40" i="55641" s="1"/>
  <c r="AK40" i="55641" s="1"/>
  <c r="T40" i="55641" s="1"/>
  <c r="U40" i="55641" s="1"/>
  <c r="W40" i="55641" s="1"/>
  <c r="C39" i="55641"/>
  <c r="U40" i="1"/>
  <c r="X40" i="1"/>
  <c r="Z95" i="1" s="1"/>
  <c r="AA95" i="1" s="1"/>
  <c r="C38" i="1"/>
  <c r="AQ39" i="1"/>
  <c r="AN39" i="1" s="1"/>
  <c r="AL39" i="1" s="1"/>
  <c r="T39" i="1" s="1"/>
  <c r="C31" i="55649" l="1"/>
  <c r="C44" i="55647"/>
  <c r="D45" i="55647"/>
  <c r="D32" i="55649"/>
  <c r="AP39" i="55641"/>
  <c r="AM39" i="55641" s="1"/>
  <c r="AK39" i="55641" s="1"/>
  <c r="T39" i="55641" s="1"/>
  <c r="U39" i="55641" s="1"/>
  <c r="W39" i="55641" s="1"/>
  <c r="C38" i="55641"/>
  <c r="X39" i="1"/>
  <c r="Z94" i="1" s="1"/>
  <c r="AA94" i="1" s="1"/>
  <c r="U39" i="1"/>
  <c r="C37" i="1"/>
  <c r="AQ38" i="1"/>
  <c r="AN38" i="1" s="1"/>
  <c r="AL38" i="1" s="1"/>
  <c r="T38" i="1" s="1"/>
  <c r="C30" i="55649" l="1"/>
  <c r="C43" i="55647"/>
  <c r="D31" i="55649"/>
  <c r="D44" i="55647"/>
  <c r="C37" i="55641"/>
  <c r="AP38" i="55641"/>
  <c r="AM38" i="55641" s="1"/>
  <c r="AK38" i="55641" s="1"/>
  <c r="T38" i="55641" s="1"/>
  <c r="U38" i="55641" s="1"/>
  <c r="W38" i="55641" s="1"/>
  <c r="U38" i="1"/>
  <c r="X38" i="1"/>
  <c r="Z93" i="1" s="1"/>
  <c r="AA93" i="1" s="1"/>
  <c r="C36" i="1"/>
  <c r="AQ37" i="1"/>
  <c r="AN37" i="1" s="1"/>
  <c r="AL37" i="1" s="1"/>
  <c r="T37" i="1" s="1"/>
  <c r="C29" i="55649" l="1"/>
  <c r="C42" i="55647"/>
  <c r="D30" i="55649"/>
  <c r="D43" i="55647"/>
  <c r="AP37" i="55641"/>
  <c r="AM37" i="55641" s="1"/>
  <c r="AK37" i="55641" s="1"/>
  <c r="T37" i="55641" s="1"/>
  <c r="U37" i="55641" s="1"/>
  <c r="W37" i="55641" s="1"/>
  <c r="C36" i="55641"/>
  <c r="U37" i="1"/>
  <c r="X37" i="1"/>
  <c r="Z92" i="1" s="1"/>
  <c r="AA92" i="1" s="1"/>
  <c r="C35" i="1"/>
  <c r="AQ36" i="1"/>
  <c r="AN36" i="1" s="1"/>
  <c r="AL36" i="1" s="1"/>
  <c r="T36" i="1" s="1"/>
  <c r="C28" i="55649" l="1"/>
  <c r="C41" i="55647"/>
  <c r="D29" i="55649"/>
  <c r="D42" i="55647"/>
  <c r="AP36" i="55641"/>
  <c r="AM36" i="55641" s="1"/>
  <c r="AK36" i="55641" s="1"/>
  <c r="T36" i="55641" s="1"/>
  <c r="U36" i="55641" s="1"/>
  <c r="W36" i="55641" s="1"/>
  <c r="C35" i="55641"/>
  <c r="C34" i="1"/>
  <c r="AQ35" i="1"/>
  <c r="AN35" i="1" s="1"/>
  <c r="AL35" i="1" s="1"/>
  <c r="T35" i="1" s="1"/>
  <c r="U36" i="1"/>
  <c r="X36" i="1"/>
  <c r="Z91" i="1" s="1"/>
  <c r="AA91" i="1" s="1"/>
  <c r="C40" i="55647" l="1"/>
  <c r="C27" i="55649"/>
  <c r="D28" i="55649"/>
  <c r="D41" i="55647"/>
  <c r="C34" i="55641"/>
  <c r="AP35" i="55641"/>
  <c r="AM35" i="55641" s="1"/>
  <c r="AK35" i="55641" s="1"/>
  <c r="T35" i="55641" s="1"/>
  <c r="U35" i="55641" s="1"/>
  <c r="W35" i="55641" s="1"/>
  <c r="X35" i="1"/>
  <c r="Z90" i="1" s="1"/>
  <c r="AA90" i="1" s="1"/>
  <c r="U35" i="1"/>
  <c r="C33" i="1"/>
  <c r="AQ34" i="1"/>
  <c r="AN34" i="1" s="1"/>
  <c r="AL34" i="1" s="1"/>
  <c r="T34" i="1" s="1"/>
  <c r="C39" i="55647" l="1"/>
  <c r="C26" i="55649"/>
  <c r="D40" i="55647"/>
  <c r="D27" i="55649"/>
  <c r="AP34" i="55641"/>
  <c r="AM34" i="55641" s="1"/>
  <c r="AK34" i="55641" s="1"/>
  <c r="T34" i="55641" s="1"/>
  <c r="U34" i="55641" s="1"/>
  <c r="W34" i="55641" s="1"/>
  <c r="C33" i="55641"/>
  <c r="U34" i="1"/>
  <c r="X34" i="1"/>
  <c r="Z89" i="1" s="1"/>
  <c r="AA89" i="1" s="1"/>
  <c r="C32" i="1"/>
  <c r="AQ33" i="1"/>
  <c r="AN33" i="1" s="1"/>
  <c r="AL33" i="1" s="1"/>
  <c r="T33" i="1" s="1"/>
  <c r="D26" i="55649" l="1"/>
  <c r="D39" i="55647"/>
  <c r="C32" i="55641"/>
  <c r="AP33" i="55641"/>
  <c r="AM33" i="55641" s="1"/>
  <c r="AK33" i="55641" s="1"/>
  <c r="T33" i="55641" s="1"/>
  <c r="U33" i="55641" s="1"/>
  <c r="W33" i="55641" s="1"/>
  <c r="U33" i="1"/>
  <c r="X33" i="1"/>
  <c r="Z88" i="1" s="1"/>
  <c r="AA88" i="1" s="1"/>
  <c r="C31" i="1"/>
  <c r="AQ32" i="1"/>
  <c r="AN32" i="1" s="1"/>
  <c r="AL32" i="1" s="1"/>
  <c r="T32" i="1" s="1"/>
  <c r="C38" i="55647"/>
  <c r="C25" i="55649"/>
  <c r="AP32" i="55641" l="1"/>
  <c r="AM32" i="55641" s="1"/>
  <c r="AK32" i="55641" s="1"/>
  <c r="T32" i="55641" s="1"/>
  <c r="U32" i="55641" s="1"/>
  <c r="W32" i="55641" s="1"/>
  <c r="C31" i="55641"/>
  <c r="U32" i="1"/>
  <c r="X32" i="1"/>
  <c r="Z87" i="1" s="1"/>
  <c r="AA87" i="1" s="1"/>
  <c r="D38" i="55647"/>
  <c r="D25" i="55649"/>
  <c r="C30" i="1"/>
  <c r="C37" i="55647"/>
  <c r="C24" i="55649"/>
  <c r="AQ31" i="1"/>
  <c r="AN31" i="1" s="1"/>
  <c r="AL31" i="1" s="1"/>
  <c r="T31" i="1" s="1"/>
  <c r="C30" i="55641" l="1"/>
  <c r="AP31" i="55641"/>
  <c r="AM31" i="55641" s="1"/>
  <c r="AK31" i="55641" s="1"/>
  <c r="T31" i="55641" s="1"/>
  <c r="U31" i="55641" s="1"/>
  <c r="W31" i="55641" s="1"/>
  <c r="X31" i="1"/>
  <c r="Z86" i="1" s="1"/>
  <c r="AA86" i="1" s="1"/>
  <c r="D37" i="55647"/>
  <c r="U31" i="1"/>
  <c r="D24" i="55649"/>
  <c r="C29" i="1"/>
  <c r="AQ30" i="1"/>
  <c r="AN30" i="1" s="1"/>
  <c r="AL30" i="1" s="1"/>
  <c r="T30" i="1" s="1"/>
  <c r="C23" i="55649"/>
  <c r="C36" i="55647"/>
  <c r="C29" i="55641" l="1"/>
  <c r="AP30" i="55641"/>
  <c r="AM30" i="55641" s="1"/>
  <c r="AK30" i="55641" s="1"/>
  <c r="T30" i="55641" s="1"/>
  <c r="U30" i="55641" s="1"/>
  <c r="W30" i="55641" s="1"/>
  <c r="D36" i="55647"/>
  <c r="D23" i="55649"/>
  <c r="U30" i="1"/>
  <c r="X30" i="1"/>
  <c r="Z85" i="1" s="1"/>
  <c r="AA85" i="1" s="1"/>
  <c r="C28" i="1"/>
  <c r="C22" i="55649"/>
  <c r="C35" i="55647"/>
  <c r="AQ29" i="1"/>
  <c r="AN29" i="1" s="1"/>
  <c r="AL29" i="1" s="1"/>
  <c r="T29" i="1" s="1"/>
  <c r="AP29" i="55641" l="1"/>
  <c r="AM29" i="55641" s="1"/>
  <c r="AK29" i="55641" s="1"/>
  <c r="T29" i="55641" s="1"/>
  <c r="U29" i="55641" s="1"/>
  <c r="W29" i="55641" s="1"/>
  <c r="C28" i="55641"/>
  <c r="C27" i="1"/>
  <c r="C34" i="55647"/>
  <c r="C21" i="55649"/>
  <c r="AQ28" i="1"/>
  <c r="AN28" i="1" s="1"/>
  <c r="AL28" i="1" s="1"/>
  <c r="T28" i="1" s="1"/>
  <c r="D35" i="55647"/>
  <c r="D22" i="55649"/>
  <c r="X29" i="1"/>
  <c r="Z84" i="1" s="1"/>
  <c r="AA84" i="1" s="1"/>
  <c r="U29" i="1"/>
  <c r="C27" i="55641" l="1"/>
  <c r="AP28" i="55641"/>
  <c r="AM28" i="55641" s="1"/>
  <c r="AK28" i="55641" s="1"/>
  <c r="T28" i="55641" s="1"/>
  <c r="U28" i="55641" s="1"/>
  <c r="W28" i="55641" s="1"/>
  <c r="D34" i="55647"/>
  <c r="U28" i="1"/>
  <c r="D21" i="55649"/>
  <c r="X28" i="1"/>
  <c r="Z83" i="1" s="1"/>
  <c r="AA83" i="1" s="1"/>
  <c r="C26" i="1"/>
  <c r="C20" i="55649"/>
  <c r="C33" i="55647"/>
  <c r="AQ27" i="1"/>
  <c r="AN27" i="1" s="1"/>
  <c r="AL27" i="1" s="1"/>
  <c r="T27" i="1" s="1"/>
  <c r="C26" i="55641" l="1"/>
  <c r="AP27" i="55641"/>
  <c r="AM27" i="55641" s="1"/>
  <c r="AK27" i="55641" s="1"/>
  <c r="T27" i="55641" s="1"/>
  <c r="U27" i="55641" s="1"/>
  <c r="W27" i="55641" s="1"/>
  <c r="C25" i="1"/>
  <c r="AQ26" i="1"/>
  <c r="AN26" i="1" s="1"/>
  <c r="AL26" i="1" s="1"/>
  <c r="T26" i="1" s="1"/>
  <c r="C32" i="55647"/>
  <c r="C19" i="55649"/>
  <c r="D20" i="55649"/>
  <c r="U27" i="1"/>
  <c r="X27" i="1"/>
  <c r="Z82" i="1" s="1"/>
  <c r="AA82" i="1" s="1"/>
  <c r="D33" i="55647"/>
  <c r="C25" i="55641" l="1"/>
  <c r="AP26" i="55641"/>
  <c r="AM26" i="55641" s="1"/>
  <c r="AK26" i="55641" s="1"/>
  <c r="T26" i="55641" s="1"/>
  <c r="U26" i="55641" s="1"/>
  <c r="W26" i="55641" s="1"/>
  <c r="X26" i="1"/>
  <c r="Z81" i="1" s="1"/>
  <c r="AA81" i="1" s="1"/>
  <c r="D19" i="55649"/>
  <c r="U26" i="1"/>
  <c r="D32" i="55647"/>
  <c r="C24" i="1"/>
  <c r="C31" i="55647"/>
  <c r="AQ25" i="1"/>
  <c r="AN25" i="1" s="1"/>
  <c r="AL25" i="1" s="1"/>
  <c r="T25" i="1" s="1"/>
  <c r="C18" i="55649"/>
  <c r="C24" i="55641" l="1"/>
  <c r="AP25" i="55641"/>
  <c r="AM25" i="55641" s="1"/>
  <c r="AK25" i="55641" s="1"/>
  <c r="T25" i="55641" s="1"/>
  <c r="U25" i="55641" s="1"/>
  <c r="W25" i="55641" s="1"/>
  <c r="D18" i="55649"/>
  <c r="U25" i="1"/>
  <c r="X25" i="1"/>
  <c r="Z80" i="1" s="1"/>
  <c r="AA80" i="1" s="1"/>
  <c r="D31" i="55647"/>
  <c r="C23" i="1"/>
  <c r="AQ24" i="1"/>
  <c r="AN24" i="1" s="1"/>
  <c r="AL24" i="1" s="1"/>
  <c r="T24" i="1" s="1"/>
  <c r="C17" i="55649"/>
  <c r="C30" i="55647"/>
  <c r="C23" i="55641" l="1"/>
  <c r="AP24" i="55641"/>
  <c r="AM24" i="55641" s="1"/>
  <c r="AK24" i="55641" s="1"/>
  <c r="T24" i="55641" s="1"/>
  <c r="U24" i="55641" s="1"/>
  <c r="W24" i="55641" s="1"/>
  <c r="D17" i="55649"/>
  <c r="U24" i="1"/>
  <c r="X24" i="1"/>
  <c r="Z79" i="1" s="1"/>
  <c r="AA79" i="1" s="1"/>
  <c r="D30" i="55647"/>
  <c r="C22" i="1"/>
  <c r="AQ23" i="1"/>
  <c r="AN23" i="1" s="1"/>
  <c r="AL23" i="1" s="1"/>
  <c r="T23" i="1" s="1"/>
  <c r="C16" i="55649"/>
  <c r="C29" i="55647"/>
  <c r="AP23" i="55641" l="1"/>
  <c r="AM23" i="55641" s="1"/>
  <c r="AK23" i="55641" s="1"/>
  <c r="T23" i="55641" s="1"/>
  <c r="U23" i="55641" s="1"/>
  <c r="W23" i="55641" s="1"/>
  <c r="C22" i="55641"/>
  <c r="X23" i="1"/>
  <c r="Z78" i="1" s="1"/>
  <c r="AA78" i="1" s="1"/>
  <c r="D16" i="55649"/>
  <c r="D29" i="55647"/>
  <c r="U23" i="1"/>
  <c r="C21" i="1"/>
  <c r="C15" i="55649"/>
  <c r="AQ22" i="1"/>
  <c r="AN22" i="1" s="1"/>
  <c r="AL22" i="1" s="1"/>
  <c r="T22" i="1" s="1"/>
  <c r="C28" i="55647"/>
  <c r="AP22" i="55641" l="1"/>
  <c r="AM22" i="55641" s="1"/>
  <c r="AK22" i="55641" s="1"/>
  <c r="T22" i="55641" s="1"/>
  <c r="U22" i="55641" s="1"/>
  <c r="W22" i="55641" s="1"/>
  <c r="C21" i="55641"/>
  <c r="C20" i="1"/>
  <c r="AQ21" i="1"/>
  <c r="AN21" i="1" s="1"/>
  <c r="AL21" i="1" s="1"/>
  <c r="T21" i="1" s="1"/>
  <c r="C27" i="55647"/>
  <c r="C14" i="55649"/>
  <c r="U22" i="1"/>
  <c r="X22" i="1"/>
  <c r="Z77" i="1" s="1"/>
  <c r="AA77" i="1" s="1"/>
  <c r="D15" i="55649"/>
  <c r="D28" i="55647"/>
  <c r="C20" i="55641" l="1"/>
  <c r="AP21" i="55641"/>
  <c r="AM21" i="55641" s="1"/>
  <c r="AK21" i="55641" s="1"/>
  <c r="T21" i="55641" s="1"/>
  <c r="U21" i="55641" s="1"/>
  <c r="W21" i="55641" s="1"/>
  <c r="D27" i="55647"/>
  <c r="X21" i="1"/>
  <c r="Z76" i="1" s="1"/>
  <c r="AA76" i="1" s="1"/>
  <c r="D14" i="55649"/>
  <c r="U21" i="1"/>
  <c r="C19" i="1"/>
  <c r="AQ20" i="1"/>
  <c r="AN20" i="1" s="1"/>
  <c r="AL20" i="1" s="1"/>
  <c r="T20" i="1" s="1"/>
  <c r="C13" i="55649"/>
  <c r="C26" i="55647"/>
  <c r="AP20" i="55641" l="1"/>
  <c r="AM20" i="55641" s="1"/>
  <c r="AK20" i="55641" s="1"/>
  <c r="T20" i="55641" s="1"/>
  <c r="U20" i="55641" s="1"/>
  <c r="W20" i="55641" s="1"/>
  <c r="C19" i="55641"/>
  <c r="D26" i="55647"/>
  <c r="X20" i="1"/>
  <c r="Z75" i="1" s="1"/>
  <c r="AA75" i="1" s="1"/>
  <c r="U20" i="1"/>
  <c r="D13" i="55649"/>
  <c r="C18" i="1"/>
  <c r="AQ19" i="1"/>
  <c r="AN19" i="1" s="1"/>
  <c r="AL19" i="1" s="1"/>
  <c r="T19" i="1" s="1"/>
  <c r="C25" i="55647"/>
  <c r="C12" i="55649"/>
  <c r="C18" i="55641" l="1"/>
  <c r="AP19" i="55641"/>
  <c r="AM19" i="55641" s="1"/>
  <c r="AK19" i="55641" s="1"/>
  <c r="T19" i="55641" s="1"/>
  <c r="U19" i="55641" s="1"/>
  <c r="W19" i="55641" s="1"/>
  <c r="X19" i="1"/>
  <c r="Z74" i="1" s="1"/>
  <c r="AA74" i="1" s="1"/>
  <c r="U19" i="1"/>
  <c r="D12" i="55649"/>
  <c r="D25" i="55647"/>
  <c r="C17" i="1"/>
  <c r="C11" i="55649"/>
  <c r="C24" i="55647"/>
  <c r="AQ18" i="1"/>
  <c r="AN18" i="1" s="1"/>
  <c r="AL18" i="1" s="1"/>
  <c r="T18" i="1" s="1"/>
  <c r="AP18" i="55641" l="1"/>
  <c r="AM18" i="55641" s="1"/>
  <c r="AK18" i="55641" s="1"/>
  <c r="T18" i="55641" s="1"/>
  <c r="U18" i="55641" s="1"/>
  <c r="W18" i="55641" s="1"/>
  <c r="C17" i="55641"/>
  <c r="C16" i="1"/>
  <c r="AQ17" i="1"/>
  <c r="AN17" i="1" s="1"/>
  <c r="AL17" i="1" s="1"/>
  <c r="T17" i="1" s="1"/>
  <c r="C10" i="55649"/>
  <c r="C23" i="55647"/>
  <c r="X18" i="1"/>
  <c r="Z73" i="1" s="1"/>
  <c r="AA73" i="1" s="1"/>
  <c r="U18" i="1"/>
  <c r="D24" i="55647"/>
  <c r="D11" i="55649"/>
  <c r="C16" i="55641" l="1"/>
  <c r="AP17" i="55641"/>
  <c r="AM17" i="55641" s="1"/>
  <c r="AK17" i="55641" s="1"/>
  <c r="T17" i="55641" s="1"/>
  <c r="U17" i="55641" s="1"/>
  <c r="W17" i="55641" s="1"/>
  <c r="X17" i="1"/>
  <c r="Z72" i="1" s="1"/>
  <c r="AA72" i="1" s="1"/>
  <c r="U17" i="1"/>
  <c r="D10" i="55649"/>
  <c r="D23" i="55647"/>
  <c r="C15" i="1"/>
  <c r="AQ16" i="1"/>
  <c r="AN16" i="1" s="1"/>
  <c r="AL16" i="1" s="1"/>
  <c r="T16" i="1" s="1"/>
  <c r="C22" i="55647"/>
  <c r="C9" i="55649"/>
  <c r="AP16" i="55641" l="1"/>
  <c r="AM16" i="55641" s="1"/>
  <c r="AK16" i="55641" s="1"/>
  <c r="T16" i="55641" s="1"/>
  <c r="U16" i="55641" s="1"/>
  <c r="W16" i="55641" s="1"/>
  <c r="C15" i="55641"/>
  <c r="U16" i="1"/>
  <c r="D9" i="55649"/>
  <c r="X16" i="1"/>
  <c r="Z71" i="1" s="1"/>
  <c r="AA71" i="1" s="1"/>
  <c r="D22" i="55647"/>
  <c r="C14" i="1"/>
  <c r="AQ15" i="1"/>
  <c r="AN15" i="1" s="1"/>
  <c r="AL15" i="1" s="1"/>
  <c r="T15" i="1" s="1"/>
  <c r="C8" i="55649"/>
  <c r="C21" i="55647"/>
  <c r="C14" i="55641" l="1"/>
  <c r="AP15" i="55641"/>
  <c r="AM15" i="55641" s="1"/>
  <c r="AK15" i="55641" s="1"/>
  <c r="T15" i="55641" s="1"/>
  <c r="U15" i="55641" s="1"/>
  <c r="W15" i="55641" s="1"/>
  <c r="U15" i="1"/>
  <c r="D21" i="55647"/>
  <c r="X15" i="1"/>
  <c r="Z70" i="1" s="1"/>
  <c r="AA70" i="1" s="1"/>
  <c r="D8" i="55649"/>
  <c r="C13" i="1"/>
  <c r="AQ14" i="1"/>
  <c r="AN14" i="1" s="1"/>
  <c r="AL14" i="1" s="1"/>
  <c r="T14" i="1" s="1"/>
  <c r="C20" i="55647"/>
  <c r="C7" i="55649"/>
  <c r="AP14" i="55641" l="1"/>
  <c r="AM14" i="55641" s="1"/>
  <c r="AK14" i="55641" s="1"/>
  <c r="T14" i="55641" s="1"/>
  <c r="U14" i="55641" s="1"/>
  <c r="W14" i="55641" s="1"/>
  <c r="C13" i="55641"/>
  <c r="U14" i="1"/>
  <c r="D7" i="55649"/>
  <c r="X14" i="1"/>
  <c r="Z69" i="1" s="1"/>
  <c r="AA69" i="1" s="1"/>
  <c r="D20" i="55647"/>
  <c r="C12" i="1"/>
  <c r="C6" i="55649"/>
  <c r="C19" i="55647"/>
  <c r="AQ13" i="1"/>
  <c r="AN13" i="1" s="1"/>
  <c r="AL13" i="1" s="1"/>
  <c r="T13" i="1" s="1"/>
  <c r="C12" i="55641" l="1"/>
  <c r="C11" i="55641" s="1"/>
  <c r="AP13" i="55641"/>
  <c r="AM13" i="55641" s="1"/>
  <c r="AK13" i="55641" s="1"/>
  <c r="T13" i="55641" s="1"/>
  <c r="U13" i="55641" s="1"/>
  <c r="W13" i="55641" s="1"/>
  <c r="C11" i="1"/>
  <c r="C18" i="55647"/>
  <c r="AQ12" i="1"/>
  <c r="C5" i="55649"/>
  <c r="D19" i="55647"/>
  <c r="U13" i="1"/>
  <c r="D6" i="55649"/>
  <c r="X13" i="1"/>
  <c r="AP12" i="55641" l="1"/>
  <c r="AM12" i="55641" s="1"/>
  <c r="AK12" i="55641" s="1"/>
  <c r="T12" i="55641" s="1"/>
  <c r="U12" i="55641" s="1"/>
  <c r="W12" i="55641" s="1"/>
  <c r="Z68" i="1"/>
  <c r="AA68" i="1" s="1"/>
  <c r="Z67" i="1"/>
  <c r="AA67" i="1" s="1"/>
  <c r="C10" i="1"/>
  <c r="C4" i="55649"/>
  <c r="AQ11" i="1"/>
  <c r="AN11" i="1" s="1"/>
  <c r="AL11" i="1" s="1"/>
  <c r="T11" i="1" s="1"/>
  <c r="C17" i="55647"/>
  <c r="AP11" i="55641" l="1"/>
  <c r="AM11" i="55641" s="1"/>
  <c r="AK11" i="55641" s="1"/>
  <c r="T11" i="55641" s="1"/>
  <c r="U11" i="55641" s="1"/>
  <c r="W11" i="55641" s="1"/>
  <c r="C10" i="55641"/>
  <c r="U11" i="1"/>
  <c r="D4" i="55649"/>
  <c r="D17" i="55647"/>
  <c r="X11" i="1"/>
  <c r="Z66" i="1" s="1"/>
  <c r="AA66" i="1" s="1"/>
  <c r="C9" i="1"/>
  <c r="C16" i="55647"/>
  <c r="C3" i="55649"/>
  <c r="AQ10" i="1"/>
  <c r="AN10" i="1" s="1"/>
  <c r="AL10" i="1" s="1"/>
  <c r="T10" i="1" s="1"/>
  <c r="AP10" i="55641" l="1"/>
  <c r="AM10" i="55641" s="1"/>
  <c r="AK10" i="55641" s="1"/>
  <c r="T10" i="55641" s="1"/>
  <c r="U10" i="55641" s="1"/>
  <c r="W10" i="55641" s="1"/>
  <c r="C9" i="55641"/>
  <c r="AP9" i="55641" s="1"/>
  <c r="AM9" i="55641" s="1"/>
  <c r="AK9" i="55641" s="1"/>
  <c r="T9" i="55641" s="1"/>
  <c r="C15" i="55647"/>
  <c r="C2" i="55649"/>
  <c r="AQ9" i="1"/>
  <c r="AN9" i="1" s="1"/>
  <c r="AL9" i="1" s="1"/>
  <c r="T9" i="1" s="1"/>
  <c r="D16" i="55647"/>
  <c r="X10" i="1"/>
  <c r="Z65" i="1" s="1"/>
  <c r="AA65" i="1" s="1"/>
  <c r="U10" i="1"/>
  <c r="D3" i="55649"/>
  <c r="U9" i="55641" l="1"/>
  <c r="W9" i="55641" s="1"/>
  <c r="T104" i="55641"/>
  <c r="T104" i="1"/>
  <c r="X9" i="1"/>
  <c r="D15" i="55647"/>
  <c r="D2" i="55649"/>
  <c r="U9" i="1"/>
  <c r="W104" i="55641" l="1"/>
  <c r="X104" i="1"/>
  <c r="C13" i="3" s="1"/>
  <c r="Z64" i="1"/>
  <c r="AA64" i="1" s="1"/>
  <c r="AB98" i="1" s="1"/>
  <c r="C14" i="3" s="1"/>
  <c r="AF8" i="1"/>
  <c r="C12" i="3" s="1"/>
  <c r="H7" i="55647"/>
  <c r="H59" i="55647" s="1"/>
  <c r="AE8" i="55641" l="1"/>
  <c r="AG8" i="55641" s="1"/>
  <c r="W106" i="55641"/>
  <c r="W107" i="55641"/>
  <c r="AH8" i="1"/>
  <c r="B9" i="5564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Megan Ryan</author>
    <author>ERDEVINE</author>
  </authors>
  <commentList>
    <comment ref="A7" authorId="0" shapeId="0" xr:uid="{00000000-0006-0000-0600-000001000000}">
      <text>
        <r>
          <rPr>
            <b/>
            <sz val="8"/>
            <color rgb="FF000000"/>
            <rFont val="Tahoma"/>
            <family val="2"/>
          </rPr>
          <t>Megan Ryan:</t>
        </r>
        <r>
          <rPr>
            <sz val="8"/>
            <color rgb="FF000000"/>
            <rFont val="Tahoma"/>
            <family val="2"/>
          </rPr>
          <t xml:space="preserve">
</t>
        </r>
        <r>
          <rPr>
            <sz val="8"/>
            <color rgb="FF000000"/>
            <rFont val="Tahoma"/>
            <family val="2"/>
          </rPr>
          <t xml:space="preserve">Recipe - 
</t>
        </r>
        <r>
          <rPr>
            <sz val="8"/>
            <color rgb="FF000000"/>
            <rFont val="Tahoma"/>
            <family val="2"/>
          </rPr>
          <t xml:space="preserve">1.5 oz Tequila, Cuervo Gold 
</t>
        </r>
        <r>
          <rPr>
            <sz val="8"/>
            <color rgb="FF000000"/>
            <rFont val="Tahoma"/>
            <family val="2"/>
          </rPr>
          <t>0.5 oz Triple sec, Boston</t>
        </r>
      </text>
    </comment>
    <comment ref="R7" authorId="1" shapeId="0" xr:uid="{00000000-0006-0000-0600-000002000000}">
      <text>
        <r>
          <rPr>
            <sz val="8"/>
            <color rgb="FF000000"/>
            <rFont val="Tahoma"/>
            <family val="2"/>
          </rPr>
          <t xml:space="preserve">Eric Devine:
</t>
        </r>
        <r>
          <rPr>
            <sz val="8"/>
            <color rgb="FF000000"/>
            <rFont val="Tahoma"/>
            <family val="2"/>
          </rPr>
          <t>If the subject had 5 Margaritas prepared this way you would enter 5 drinks, 2.0oz, and ABV of .343 into the Calcluator tab as seen in this example</t>
        </r>
      </text>
    </comment>
    <comment ref="A8" authorId="0" shapeId="0" xr:uid="{00000000-0006-0000-0600-000003000000}">
      <text>
        <r>
          <rPr>
            <b/>
            <sz val="8"/>
            <color rgb="FF000000"/>
            <rFont val="Tahoma"/>
            <family val="2"/>
          </rPr>
          <t>Megan Ryan:</t>
        </r>
        <r>
          <rPr>
            <sz val="8"/>
            <color rgb="FF000000"/>
            <rFont val="Tahoma"/>
            <family val="2"/>
          </rPr>
          <t xml:space="preserve">
</t>
        </r>
        <r>
          <rPr>
            <sz val="8"/>
            <color rgb="FF000000"/>
            <rFont val="Tahoma"/>
            <family val="2"/>
          </rPr>
          <t xml:space="preserve">Recipe - 
</t>
        </r>
        <r>
          <rPr>
            <sz val="8"/>
            <color rgb="FF000000"/>
            <rFont val="Tahoma"/>
            <family val="2"/>
          </rPr>
          <t xml:space="preserve">1.5 oz Gin, Beefeater
</t>
        </r>
        <r>
          <rPr>
            <sz val="8"/>
            <color rgb="FF000000"/>
            <rFont val="Tahoma"/>
            <family val="2"/>
          </rPr>
          <t>.75 oz Dry Vermouth</t>
        </r>
      </text>
    </comment>
    <comment ref="R8" authorId="1" shapeId="0" xr:uid="{00000000-0006-0000-0600-000004000000}">
      <text>
        <r>
          <rPr>
            <b/>
            <sz val="8"/>
            <color rgb="FF000000"/>
            <rFont val="Tahoma"/>
            <family val="2"/>
          </rPr>
          <t>Eric Devine:</t>
        </r>
        <r>
          <rPr>
            <sz val="8"/>
            <color rgb="FF000000"/>
            <rFont val="Tahoma"/>
            <family val="2"/>
          </rPr>
          <t xml:space="preserve">
</t>
        </r>
        <r>
          <rPr>
            <sz val="8"/>
            <color rgb="FF000000"/>
            <rFont val="Tahoma"/>
            <family val="2"/>
          </rPr>
          <t xml:space="preserve">Eric Devine:
</t>
        </r>
        <r>
          <rPr>
            <sz val="8"/>
            <color rgb="FF000000"/>
            <rFont val="Tahoma"/>
            <family val="2"/>
          </rPr>
          <t>If the subject had 3 Martinis prepared this way you would enter 3 drinks, 2.25oz, and .373 ABV into the Calcluator tab as seen in this example.</t>
        </r>
      </text>
    </comment>
  </commentList>
</comments>
</file>

<file path=xl/sharedStrings.xml><?xml version="1.0" encoding="utf-8"?>
<sst xmlns="http://schemas.openxmlformats.org/spreadsheetml/2006/main" count="333" uniqueCount="125">
  <si>
    <t>REMINDER:  CUT &amp; PASTE WILL CORRUPT FORMULAS ALWAYS USE COPY &amp; PASTE</t>
  </si>
  <si>
    <r>
      <t xml:space="preserve">Please use calculator to convert </t>
    </r>
    <r>
      <rPr>
        <b/>
        <u/>
        <sz val="14"/>
        <rFont val="Futura Md BT"/>
        <family val="2"/>
        <charset val="1"/>
      </rPr>
      <t>Drinks</t>
    </r>
    <r>
      <rPr>
        <b/>
        <sz val="14"/>
        <rFont val="Futura Md BT"/>
        <family val="2"/>
        <charset val="1"/>
      </rPr>
      <t xml:space="preserve"> to </t>
    </r>
    <r>
      <rPr>
        <b/>
        <u/>
        <sz val="14"/>
        <rFont val="Futura Md BT"/>
        <family val="2"/>
        <charset val="1"/>
      </rPr>
      <t>Standard Drinking Units</t>
    </r>
  </si>
  <si>
    <t>Input Subject ID and Sex</t>
  </si>
  <si>
    <t xml:space="preserve">Input date below </t>
  </si>
  <si>
    <t>Days -1 to -90 prior ICF:</t>
  </si>
  <si>
    <t>Staff Initials (calculation)</t>
  </si>
  <si>
    <t>RC</t>
  </si>
  <si>
    <t>Subject ID</t>
  </si>
  <si>
    <t>Date of Screening</t>
  </si>
  <si>
    <t>Days between ICF and RAND:</t>
  </si>
  <si>
    <t>Study Visit Name</t>
  </si>
  <si>
    <t xml:space="preserve">Screening Visit </t>
  </si>
  <si>
    <t>Day of the week Pattern Chart 1</t>
  </si>
  <si>
    <t>Day of the week Pattern Chart 2</t>
  </si>
  <si>
    <t>Beverage type #1</t>
  </si>
  <si>
    <t>Beverage type #2</t>
  </si>
  <si>
    <t>Beverage type #3</t>
  </si>
  <si>
    <t>Beverage type #4</t>
  </si>
  <si>
    <t>Beverage type #5</t>
  </si>
  <si>
    <t>Check for Missing data</t>
  </si>
  <si>
    <t>Drinking Day</t>
  </si>
  <si>
    <t>Day</t>
  </si>
  <si>
    <t>Date</t>
  </si>
  <si>
    <t>Pattern P1          A    BLANK</t>
  </si>
  <si>
    <t xml:space="preserve"># of drinks </t>
  </si>
  <si>
    <t># of oz per drink</t>
  </si>
  <si>
    <t>Conc. Of ETOH (ABV)</t>
  </si>
  <si>
    <t xml:space="preserve"># of oz per drink </t>
  </si>
  <si>
    <t xml:space="preserve"> Total SDUs</t>
  </si>
  <si>
    <t>Do SDUs exceed 40 for this day?</t>
  </si>
  <si>
    <t>Confirm Values &gt;40 with initials</t>
  </si>
  <si>
    <t>Count drinking days in each 8-week period</t>
  </si>
  <si>
    <t>Check for any period of 8 weeks abstinince</t>
  </si>
  <si>
    <t>Determination if 8 weeks abstinence exists in time period</t>
  </si>
  <si>
    <t>Average drinks per day in screening</t>
  </si>
  <si>
    <t>P1 Value</t>
  </si>
  <si>
    <t>P2 Value</t>
  </si>
  <si>
    <t>If P1 is True = day of week</t>
  </si>
  <si>
    <t>If P2 is True = day of week</t>
  </si>
  <si>
    <t>Coded Day of week</t>
  </si>
  <si>
    <t>P1 MON</t>
  </si>
  <si>
    <t>P1 TUES</t>
  </si>
  <si>
    <t>P1 WED</t>
  </si>
  <si>
    <t>P1 THR</t>
  </si>
  <si>
    <t>P1 FRI</t>
  </si>
  <si>
    <t>P1 SAT</t>
  </si>
  <si>
    <t>P1 SUN</t>
  </si>
  <si>
    <t>P2 MON</t>
  </si>
  <si>
    <t>P2 TUES</t>
  </si>
  <si>
    <t>P2 WED</t>
  </si>
  <si>
    <t>P2 THR</t>
  </si>
  <si>
    <t>P2 FRI</t>
  </si>
  <si>
    <t>P2 SAT</t>
  </si>
  <si>
    <t>P2 SUN</t>
  </si>
  <si>
    <t>BEV1</t>
  </si>
  <si>
    <t>BEV2</t>
  </si>
  <si>
    <t>BEV3</t>
  </si>
  <si>
    <t>BEV4</t>
  </si>
  <si>
    <t>BEV5</t>
  </si>
  <si>
    <t>Valid data for day (=1) no valid data (=0)</t>
  </si>
  <si>
    <t>Text Strings</t>
  </si>
  <si>
    <t>A</t>
  </si>
  <si>
    <t>P1</t>
  </si>
  <si>
    <t>Missing Baseline screening data must be collected prior to randomization.</t>
  </si>
  <si>
    <t>Screening Drinking Data Complete</t>
  </si>
  <si>
    <t>Screening</t>
  </si>
  <si>
    <t>Logic for different  number days in screening</t>
  </si>
  <si>
    <t>Text  string</t>
  </si>
  <si>
    <t>logic</t>
  </si>
  <si>
    <t>Pattern Chart 1 (P1)</t>
  </si>
  <si>
    <t>Check Missing Values</t>
  </si>
  <si>
    <t>Beverage Type #1</t>
  </si>
  <si>
    <t>Beverage Type #2</t>
  </si>
  <si>
    <t>Beverage Type  #3</t>
  </si>
  <si>
    <t>Beverage Type #4</t>
  </si>
  <si>
    <t>BeverageType #5</t>
  </si>
  <si>
    <t xml:space="preserve">Conc. Of ETOH </t>
  </si>
  <si>
    <t>Conc. Of ETOH</t>
  </si>
  <si>
    <t>Monday</t>
  </si>
  <si>
    <t>Tuesday</t>
  </si>
  <si>
    <t>Wednesday</t>
  </si>
  <si>
    <t>Thursday</t>
  </si>
  <si>
    <t>Friday</t>
  </si>
  <si>
    <t>Saturday</t>
  </si>
  <si>
    <t>Sunday</t>
  </si>
  <si>
    <t>Pattern Chart 2 (P2)</t>
  </si>
  <si>
    <t>Beverage #2</t>
  </si>
  <si>
    <t>BeverageType  #5</t>
  </si>
  <si>
    <t xml:space="preserve"> TLFB ELIGIBILITY INFORMATION</t>
  </si>
  <si>
    <t>SUBJECT ID:</t>
  </si>
  <si>
    <t xml:space="preserve"> </t>
  </si>
  <si>
    <t>Average number of drinks per day during the 90-day screening period (total drinks consumed/90)</t>
  </si>
  <si>
    <t>Total number of abstinent days in the 90-day screening period</t>
  </si>
  <si>
    <t>Does the participant have any periods during screening with 8 weeks on consecutive abstinence?</t>
  </si>
  <si>
    <t>Validity Check</t>
  </si>
  <si>
    <t>Is drinking data valid</t>
  </si>
  <si>
    <t># ERROR DAYS</t>
  </si>
  <si>
    <t>Beverage #1</t>
  </si>
  <si>
    <t>Beverage #3</t>
  </si>
  <si>
    <t>Beverage #4</t>
  </si>
  <si>
    <t>Beverage #5</t>
  </si>
  <si>
    <t>This spreadsheet is used to average alcohol by volume for mixed drinks.  You must know the ABV for each type of alcohol, and the liquid volume for the alcohol.  Please see examples below.  Make note that you are only inputting the volume of liquid.  Do not include the total volume with ice.  Use the total fluid ounces calculated in column L and the ABV calculated in column M to calculate the SDU using the SDU "calculator" tab.</t>
  </si>
  <si>
    <t>Ingredient #1</t>
  </si>
  <si>
    <t>Ingredient #2</t>
  </si>
  <si>
    <t>Ingredient #3</t>
  </si>
  <si>
    <t>Ingredient #4</t>
  </si>
  <si>
    <t>Ingredient #5</t>
  </si>
  <si>
    <t>Average ABV</t>
  </si>
  <si>
    <t>Data entry of average ABV</t>
  </si>
  <si>
    <t>Mixed Drink Name</t>
  </si>
  <si>
    <t xml:space="preserve"> fluid oz</t>
  </si>
  <si>
    <t>Conc. Of ETOH     (ABV)</t>
  </si>
  <si>
    <t xml:space="preserve"> fluid oz </t>
  </si>
  <si>
    <t>Total oz</t>
  </si>
  <si>
    <t>Average %ABV</t>
  </si>
  <si>
    <t>Total SDU</t>
  </si>
  <si>
    <t>Margarita</t>
  </si>
  <si>
    <t>Martini, dry</t>
  </si>
  <si>
    <t>Time-Line Follow-Back (TLFB) drinking assessment</t>
  </si>
  <si>
    <t>Integrated Therapies for Alcohol use in Alcohol-associated Liver Disease (ITAALD) trial</t>
  </si>
  <si>
    <t xml:space="preserve">SDU calculation </t>
  </si>
  <si>
    <t>Date of TLFB assessment</t>
  </si>
  <si>
    <t xml:space="preserve">Duplicate entry </t>
  </si>
  <si>
    <t># of invalid data fields</t>
  </si>
  <si>
    <t>Total SDUs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</si>
</sst>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m/d/yyyy;@"/>
    <numFmt numFmtId="166" formatCode="0.000"/>
    <numFmt numFmtId="167" formatCode="[$-409]dddd"/>
    <numFmt numFmtId="168" formatCode="m/d/yy;@"/>
    <numFmt numFmtId="169" formatCode="mm/dd/yy;@"/>
  </numFmts>
  <fonts count="42">
    <font>
      <sz val="10"/>
      <name val="Arial"/>
    </font>
    <font>
      <sz val="10"/>
      <name val="Arial"/>
      <family val="2"/>
    </font>
    <font>
      <b/>
      <sz val="10"/>
      <name val="Arial"/>
      <family val="2"/>
    </font>
    <font>
      <sz val="14"/>
      <name val="Berlin Sans FB"/>
      <family val="2"/>
      <charset val="1"/>
    </font>
    <font>
      <b/>
      <sz val="14"/>
      <name val="Arial"/>
      <family val="2"/>
    </font>
    <font>
      <sz val="10"/>
      <color indexed="10"/>
      <name val="Arial"/>
      <family val="2"/>
    </font>
    <font>
      <b/>
      <sz val="10"/>
      <name val="Futura Md BT"/>
      <family val="2"/>
      <charset val="1"/>
    </font>
    <font>
      <sz val="10"/>
      <name val="Futura Md BT"/>
      <family val="2"/>
      <charset val="1"/>
    </font>
    <font>
      <b/>
      <sz val="12"/>
      <name val="Futura Md BT"/>
      <family val="2"/>
      <charset val="1"/>
    </font>
    <font>
      <b/>
      <sz val="14"/>
      <name val="Futura Md BT"/>
      <family val="2"/>
      <charset val="1"/>
    </font>
    <font>
      <b/>
      <u/>
      <sz val="14"/>
      <name val="Futura Md BT"/>
      <family val="2"/>
      <charset val="1"/>
    </font>
    <font>
      <b/>
      <sz val="12"/>
      <name val="Arial"/>
      <family val="2"/>
    </font>
    <font>
      <b/>
      <sz val="8"/>
      <name val="Arial"/>
      <family val="2"/>
    </font>
    <font>
      <sz val="12"/>
      <name val="Arial"/>
      <family val="2"/>
    </font>
    <font>
      <b/>
      <sz val="12"/>
      <name val="Arial"/>
      <family val="2"/>
    </font>
    <font>
      <b/>
      <sz val="12"/>
      <color indexed="8"/>
      <name val="Futura"/>
      <family val="2"/>
      <charset val="1"/>
    </font>
    <font>
      <b/>
      <sz val="12"/>
      <name val="Futura"/>
      <family val="2"/>
      <charset val="1"/>
    </font>
    <font>
      <sz val="8"/>
      <name val="Arial"/>
      <family val="2"/>
    </font>
    <font>
      <b/>
      <sz val="11"/>
      <name val="Futura Md BT"/>
      <charset val="1"/>
    </font>
    <font>
      <b/>
      <sz val="9"/>
      <name val="Futura Md BT"/>
      <family val="2"/>
      <charset val="1"/>
    </font>
    <font>
      <sz val="9"/>
      <name val="Arial"/>
      <family val="2"/>
    </font>
    <font>
      <b/>
      <sz val="12"/>
      <color indexed="9"/>
      <name val="Arial"/>
      <family val="2"/>
    </font>
    <font>
      <b/>
      <i/>
      <sz val="12"/>
      <name val="Arial"/>
      <family val="2"/>
    </font>
    <font>
      <sz val="12"/>
      <color indexed="8"/>
      <name val="Arial Black"/>
      <family val="2"/>
    </font>
    <font>
      <sz val="8"/>
      <color indexed="9"/>
      <name val="Arial"/>
      <family val="2"/>
    </font>
    <font>
      <b/>
      <sz val="12"/>
      <color indexed="8"/>
      <name val="Arial"/>
      <family val="2"/>
    </font>
    <font>
      <i/>
      <sz val="12"/>
      <name val="Arial"/>
      <family val="2"/>
    </font>
    <font>
      <sz val="14"/>
      <color indexed="8"/>
      <name val="Arial"/>
      <family val="2"/>
    </font>
    <font>
      <sz val="8"/>
      <name val="Arial"/>
      <family val="2"/>
    </font>
    <font>
      <b/>
      <sz val="16"/>
      <color indexed="9"/>
      <name val="Futura"/>
      <family val="2"/>
      <charset val="1"/>
    </font>
    <font>
      <sz val="10"/>
      <color indexed="9"/>
      <name val="Arial"/>
      <family val="2"/>
    </font>
    <font>
      <b/>
      <sz val="12"/>
      <color indexed="8"/>
      <name val="Arial Narrow"/>
      <family val="2"/>
    </font>
    <font>
      <b/>
      <sz val="12"/>
      <name val="Arial Narrow"/>
      <family val="2"/>
    </font>
    <font>
      <b/>
      <sz val="14"/>
      <name val="Arial Narrow"/>
      <family val="2"/>
    </font>
    <font>
      <sz val="10"/>
      <name val="Arial Narrow"/>
      <family val="2"/>
    </font>
    <font>
      <b/>
      <sz val="10"/>
      <name val="Arial Narrow"/>
      <family val="2"/>
    </font>
    <font>
      <sz val="12"/>
      <name val="Arial Narrow"/>
      <family val="2"/>
    </font>
    <font>
      <sz val="12"/>
      <color indexed="8"/>
      <name val="Arial Narrow"/>
      <family val="2"/>
    </font>
    <font>
      <b/>
      <sz val="10"/>
      <color indexed="8"/>
      <name val="Arial Narrow"/>
      <family val="2"/>
    </font>
    <font>
      <sz val="12"/>
      <color indexed="8"/>
      <name val="Arial"/>
      <family val="2"/>
    </font>
    <font>
      <b/>
      <sz val="8"/>
      <color rgb="FF000000"/>
      <name val="Tahoma"/>
      <family val="2"/>
    </font>
    <font>
      <sz val="8"/>
      <color rgb="FF000000"/>
      <name val="Tahoma"/>
      <family val="2"/>
    </font>
  </fonts>
  <fills count="18">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3"/>
        <bgColor indexed="64"/>
      </patternFill>
    </fill>
    <fill>
      <patternFill patternType="solid">
        <fgColor indexed="11"/>
        <bgColor indexed="64"/>
      </patternFill>
    </fill>
    <fill>
      <patternFill patternType="solid">
        <fgColor indexed="53"/>
        <bgColor indexed="64"/>
      </patternFill>
    </fill>
    <fill>
      <patternFill patternType="solid">
        <fgColor indexed="14"/>
        <bgColor indexed="64"/>
      </patternFill>
    </fill>
    <fill>
      <patternFill patternType="solid">
        <fgColor indexed="15"/>
        <bgColor indexed="64"/>
      </patternFill>
    </fill>
    <fill>
      <patternFill patternType="solid">
        <fgColor indexed="47"/>
        <bgColor indexed="64"/>
      </patternFill>
    </fill>
    <fill>
      <patternFill patternType="solid">
        <fgColor indexed="51"/>
        <bgColor indexed="64"/>
      </patternFill>
    </fill>
    <fill>
      <patternFill patternType="solid">
        <fgColor indexed="44"/>
        <bgColor indexed="64"/>
      </patternFill>
    </fill>
    <fill>
      <patternFill patternType="solid">
        <fgColor indexed="52"/>
        <bgColor indexed="64"/>
      </patternFill>
    </fill>
    <fill>
      <patternFill patternType="solid">
        <fgColor indexed="55"/>
        <bgColor indexed="64"/>
      </patternFill>
    </fill>
    <fill>
      <patternFill patternType="solid">
        <fgColor indexed="16"/>
        <bgColor indexed="64"/>
      </patternFill>
    </fill>
    <fill>
      <patternFill patternType="solid">
        <fgColor theme="0"/>
        <bgColor indexed="64"/>
      </patternFill>
    </fill>
    <fill>
      <patternFill patternType="solid">
        <fgColor theme="1"/>
        <bgColor indexed="64"/>
      </patternFill>
    </fill>
  </fills>
  <borders count="68">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double">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double">
        <color indexed="64"/>
      </right>
      <top style="medium">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right/>
      <top style="double">
        <color indexed="64"/>
      </top>
      <bottom/>
      <diagonal/>
    </border>
    <border>
      <left style="double">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double">
        <color indexed="64"/>
      </right>
      <top/>
      <bottom style="hair">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hair">
        <color indexed="64"/>
      </left>
      <right/>
      <top style="hair">
        <color indexed="64"/>
      </top>
      <bottom style="hair">
        <color indexed="64"/>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top style="medium">
        <color indexed="64"/>
      </top>
      <bottom style="hair">
        <color indexed="64"/>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double">
        <color indexed="64"/>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medium">
        <color indexed="64"/>
      </bottom>
      <diagonal/>
    </border>
    <border>
      <left/>
      <right/>
      <top/>
      <bottom style="thin">
        <color indexed="64"/>
      </bottom>
      <diagonal/>
    </border>
    <border>
      <left/>
      <right/>
      <top style="thin">
        <color indexed="64"/>
      </top>
      <bottom/>
      <diagonal/>
    </border>
    <border>
      <left/>
      <right style="thin">
        <color indexed="8"/>
      </right>
      <top style="thin">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17">
    <xf numFmtId="0" fontId="0" fillId="0" borderId="0" xfId="0"/>
    <xf numFmtId="0" fontId="0" fillId="0" borderId="0" xfId="0" applyAlignment="1">
      <alignment horizontal="center"/>
    </xf>
    <xf numFmtId="0" fontId="0" fillId="0" borderId="0" xfId="0" applyAlignment="1">
      <alignment horizontal="left"/>
    </xf>
    <xf numFmtId="0" fontId="0" fillId="0" borderId="0" xfId="0" applyProtection="1">
      <protection hidden="1"/>
    </xf>
    <xf numFmtId="0" fontId="2" fillId="0" borderId="0" xfId="0" applyFont="1" applyAlignment="1">
      <alignment horizontal="center"/>
    </xf>
    <xf numFmtId="0" fontId="0" fillId="0" borderId="0" xfId="0" applyAlignment="1">
      <alignment horizontal="center" vertical="center"/>
    </xf>
    <xf numFmtId="0" fontId="2" fillId="0" borderId="0" xfId="0" applyFont="1" applyAlignment="1">
      <alignment horizontal="center" vertical="center"/>
    </xf>
    <xf numFmtId="43" fontId="0" fillId="0" borderId="0" xfId="1" applyFont="1"/>
    <xf numFmtId="43" fontId="0" fillId="0" borderId="0" xfId="1" applyFont="1" applyBorder="1"/>
    <xf numFmtId="43" fontId="3" fillId="0" borderId="0" xfId="1" applyFont="1" applyBorder="1" applyAlignment="1">
      <alignment horizontal="right"/>
    </xf>
    <xf numFmtId="0" fontId="0" fillId="0" borderId="0" xfId="0" applyAlignment="1">
      <alignment vertical="center"/>
    </xf>
    <xf numFmtId="0" fontId="0" fillId="3" borderId="4" xfId="0" applyFill="1" applyBorder="1"/>
    <xf numFmtId="0" fontId="13" fillId="0" borderId="0" xfId="0" applyFont="1"/>
    <xf numFmtId="164" fontId="0" fillId="0" borderId="0" xfId="0" applyNumberFormat="1"/>
    <xf numFmtId="0" fontId="0" fillId="0" borderId="0" xfId="0" applyAlignment="1">
      <alignment wrapText="1"/>
    </xf>
    <xf numFmtId="0" fontId="0" fillId="0" borderId="0" xfId="0" applyAlignment="1">
      <alignment horizontal="center" wrapText="1"/>
    </xf>
    <xf numFmtId="0" fontId="14" fillId="0" borderId="0" xfId="0" applyFont="1" applyAlignment="1">
      <alignment horizontal="center"/>
    </xf>
    <xf numFmtId="43" fontId="16" fillId="0" borderId="0" xfId="1" applyFont="1" applyAlignment="1">
      <alignment horizontal="center" vertical="center"/>
    </xf>
    <xf numFmtId="0" fontId="16" fillId="0" borderId="0" xfId="0" applyFont="1" applyAlignment="1">
      <alignment horizontal="center" vertical="center"/>
    </xf>
    <xf numFmtId="43" fontId="1" fillId="0" borderId="0" xfId="1" applyFont="1" applyAlignment="1">
      <alignment vertical="top"/>
    </xf>
    <xf numFmtId="0" fontId="1" fillId="0" borderId="0" xfId="0" applyFont="1" applyAlignment="1">
      <alignment vertical="top"/>
    </xf>
    <xf numFmtId="43" fontId="0" fillId="0" borderId="0" xfId="0" applyNumberFormat="1" applyProtection="1">
      <protection hidden="1"/>
    </xf>
    <xf numFmtId="164" fontId="1" fillId="0" borderId="10" xfId="0" applyNumberFormat="1" applyFont="1" applyBorder="1" applyProtection="1">
      <protection locked="0"/>
    </xf>
    <xf numFmtId="0" fontId="2" fillId="0" borderId="0" xfId="0" applyFont="1" applyAlignment="1">
      <alignment horizontal="left"/>
    </xf>
    <xf numFmtId="0" fontId="0" fillId="4" borderId="4" xfId="0" applyFill="1" applyBorder="1" applyAlignment="1" applyProtection="1">
      <alignment horizontal="center"/>
      <protection locked="0"/>
    </xf>
    <xf numFmtId="0" fontId="6" fillId="0" borderId="0" xfId="0" applyFont="1" applyAlignment="1">
      <alignment vertical="center" wrapText="1"/>
    </xf>
    <xf numFmtId="0" fontId="8" fillId="0" borderId="0" xfId="0" applyFont="1" applyAlignment="1">
      <alignment horizontal="center" vertical="center"/>
    </xf>
    <xf numFmtId="0" fontId="0" fillId="0" borderId="0" xfId="0" applyAlignment="1">
      <alignment horizontal="left" wrapText="1"/>
    </xf>
    <xf numFmtId="0" fontId="0" fillId="4" borderId="11" xfId="0" applyFill="1" applyBorder="1" applyAlignment="1" applyProtection="1">
      <alignment horizontal="center"/>
      <protection locked="0"/>
    </xf>
    <xf numFmtId="0" fontId="0" fillId="0" borderId="0" xfId="0" applyProtection="1">
      <protection locked="0"/>
    </xf>
    <xf numFmtId="164" fontId="0" fillId="0" borderId="0" xfId="0" applyNumberFormat="1" applyAlignment="1">
      <alignment horizontal="center"/>
    </xf>
    <xf numFmtId="43" fontId="15" fillId="2" borderId="12" xfId="1" applyFont="1" applyFill="1" applyBorder="1" applyAlignment="1" applyProtection="1">
      <alignment horizontal="center" vertical="center"/>
    </xf>
    <xf numFmtId="0" fontId="6" fillId="5" borderId="4" xfId="0" applyFont="1" applyFill="1" applyBorder="1" applyAlignment="1">
      <alignment horizontal="center" vertical="top" wrapText="1"/>
    </xf>
    <xf numFmtId="0" fontId="6" fillId="6" borderId="4" xfId="0" applyFont="1" applyFill="1" applyBorder="1" applyAlignment="1">
      <alignment horizontal="center" vertical="top" wrapText="1"/>
    </xf>
    <xf numFmtId="0" fontId="6" fillId="7" borderId="4" xfId="0" applyFont="1" applyFill="1" applyBorder="1" applyAlignment="1">
      <alignment horizontal="center" vertical="top" wrapText="1"/>
    </xf>
    <xf numFmtId="0" fontId="15" fillId="2" borderId="4" xfId="0" applyFont="1" applyFill="1" applyBorder="1" applyAlignment="1">
      <alignment horizontal="left" vertical="center"/>
    </xf>
    <xf numFmtId="0" fontId="6" fillId="3" borderId="4" xfId="0" applyFont="1" applyFill="1" applyBorder="1" applyAlignment="1">
      <alignment horizontal="left" vertical="top" wrapText="1"/>
    </xf>
    <xf numFmtId="1" fontId="2" fillId="4" borderId="4" xfId="0" applyNumberFormat="1" applyFont="1" applyFill="1" applyBorder="1" applyAlignment="1">
      <alignment horizontal="left"/>
    </xf>
    <xf numFmtId="0" fontId="2" fillId="4" borderId="4" xfId="0" applyFont="1" applyFill="1" applyBorder="1" applyAlignment="1">
      <alignment horizontal="left"/>
    </xf>
    <xf numFmtId="0" fontId="6" fillId="8" borderId="4" xfId="0" applyFont="1" applyFill="1" applyBorder="1" applyAlignment="1">
      <alignment horizontal="center" vertical="top" wrapText="1"/>
    </xf>
    <xf numFmtId="0" fontId="6" fillId="9" borderId="4" xfId="0" applyFont="1" applyFill="1" applyBorder="1" applyAlignment="1">
      <alignment horizontal="center" vertical="top" wrapText="1"/>
    </xf>
    <xf numFmtId="43" fontId="15" fillId="2" borderId="4" xfId="1" applyFont="1" applyFill="1" applyBorder="1" applyAlignment="1" applyProtection="1">
      <alignment horizontal="center" vertical="center"/>
    </xf>
    <xf numFmtId="164" fontId="0" fillId="4" borderId="4" xfId="0" applyNumberFormat="1" applyFill="1" applyBorder="1" applyAlignment="1">
      <alignment horizontal="center"/>
    </xf>
    <xf numFmtId="0" fontId="1" fillId="4" borderId="16" xfId="0" applyFont="1" applyFill="1" applyBorder="1" applyAlignment="1" applyProtection="1">
      <alignment horizontal="center"/>
      <protection locked="0"/>
    </xf>
    <xf numFmtId="0" fontId="1" fillId="4" borderId="17" xfId="0" applyFont="1" applyFill="1" applyBorder="1" applyAlignment="1" applyProtection="1">
      <alignment horizontal="center"/>
      <protection locked="0"/>
    </xf>
    <xf numFmtId="0" fontId="1" fillId="4" borderId="18" xfId="0" applyFont="1" applyFill="1" applyBorder="1" applyAlignment="1" applyProtection="1">
      <alignment horizontal="center"/>
      <protection locked="0"/>
    </xf>
    <xf numFmtId="0" fontId="1" fillId="4" borderId="19" xfId="0" applyFont="1" applyFill="1" applyBorder="1" applyAlignment="1" applyProtection="1">
      <alignment horizontal="center"/>
      <protection locked="0"/>
    </xf>
    <xf numFmtId="0" fontId="1" fillId="4" borderId="10" xfId="0" applyFont="1" applyFill="1" applyBorder="1" applyAlignment="1" applyProtection="1">
      <alignment horizontal="center"/>
      <protection locked="0"/>
    </xf>
    <xf numFmtId="0" fontId="1" fillId="4" borderId="20" xfId="0" applyFont="1" applyFill="1" applyBorder="1" applyAlignment="1" applyProtection="1">
      <alignment horizontal="center"/>
      <protection locked="0"/>
    </xf>
    <xf numFmtId="0" fontId="0" fillId="2" borderId="21" xfId="0" applyFill="1" applyBorder="1" applyAlignment="1">
      <alignment horizontal="center" vertical="center"/>
    </xf>
    <xf numFmtId="0" fontId="9" fillId="0" borderId="0" xfId="0" applyFont="1" applyAlignment="1">
      <alignment horizontal="center"/>
    </xf>
    <xf numFmtId="0" fontId="8" fillId="0" borderId="0" xfId="0" applyFont="1"/>
    <xf numFmtId="0" fontId="11" fillId="0" borderId="0" xfId="0" applyFont="1" applyAlignment="1">
      <alignment horizontal="center"/>
    </xf>
    <xf numFmtId="0" fontId="1" fillId="4" borderId="22" xfId="0" applyFont="1" applyFill="1" applyBorder="1" applyAlignment="1" applyProtection="1">
      <alignment horizontal="center"/>
      <protection locked="0"/>
    </xf>
    <xf numFmtId="0" fontId="1" fillId="4" borderId="23" xfId="0" applyFont="1" applyFill="1" applyBorder="1" applyAlignment="1" applyProtection="1">
      <alignment horizontal="center"/>
      <protection locked="0"/>
    </xf>
    <xf numFmtId="0" fontId="1" fillId="4" borderId="24" xfId="0" applyFont="1" applyFill="1" applyBorder="1" applyAlignment="1" applyProtection="1">
      <alignment horizontal="center"/>
      <protection locked="0"/>
    </xf>
    <xf numFmtId="0" fontId="7" fillId="0" borderId="0" xfId="0" applyFont="1" applyAlignment="1">
      <alignment horizontal="center" vertical="center"/>
    </xf>
    <xf numFmtId="1" fontId="6" fillId="0" borderId="0" xfId="0" applyNumberFormat="1" applyFont="1" applyAlignment="1">
      <alignment horizontal="center" vertical="center"/>
    </xf>
    <xf numFmtId="0" fontId="2" fillId="0" borderId="12" xfId="0" applyFont="1" applyBorder="1" applyAlignment="1" applyProtection="1">
      <alignment horizontal="center" vertical="center"/>
      <protection locked="0"/>
    </xf>
    <xf numFmtId="0" fontId="0" fillId="0" borderId="0" xfId="0" applyAlignment="1" applyProtection="1">
      <alignment horizontal="center"/>
      <protection locked="0"/>
    </xf>
    <xf numFmtId="0" fontId="0" fillId="0" borderId="0" xfId="0" applyAlignment="1" applyProtection="1">
      <alignment horizontal="center"/>
      <protection hidden="1"/>
    </xf>
    <xf numFmtId="1" fontId="0" fillId="0" borderId="0" xfId="0" applyNumberFormat="1" applyAlignment="1" applyProtection="1">
      <alignment horizontal="center"/>
      <protection hidden="1"/>
    </xf>
    <xf numFmtId="0" fontId="0" fillId="0" borderId="11" xfId="0" applyBorder="1" applyAlignment="1" applyProtection="1">
      <alignment horizontal="center"/>
      <protection hidden="1"/>
    </xf>
    <xf numFmtId="0" fontId="0" fillId="0" borderId="34" xfId="0" applyBorder="1" applyAlignment="1" applyProtection="1">
      <alignment horizontal="center"/>
      <protection hidden="1"/>
    </xf>
    <xf numFmtId="0" fontId="0" fillId="0" borderId="35" xfId="0" applyBorder="1" applyAlignment="1" applyProtection="1">
      <alignment horizontal="center"/>
      <protection hidden="1"/>
    </xf>
    <xf numFmtId="14" fontId="0" fillId="0" borderId="11" xfId="0" applyNumberFormat="1" applyBorder="1" applyAlignment="1" applyProtection="1">
      <alignment horizontal="center"/>
      <protection hidden="1"/>
    </xf>
    <xf numFmtId="0" fontId="0" fillId="0" borderId="4" xfId="0" applyBorder="1" applyProtection="1">
      <protection hidden="1"/>
    </xf>
    <xf numFmtId="0" fontId="0" fillId="0" borderId="4" xfId="0" applyBorder="1" applyAlignment="1" applyProtection="1">
      <alignment horizontal="center"/>
      <protection hidden="1"/>
    </xf>
    <xf numFmtId="169" fontId="0" fillId="0" borderId="4" xfId="0" applyNumberFormat="1" applyBorder="1" applyAlignment="1" applyProtection="1">
      <alignment horizontal="center"/>
      <protection hidden="1"/>
    </xf>
    <xf numFmtId="169" fontId="0" fillId="0" borderId="0" xfId="0" applyNumberFormat="1" applyAlignment="1" applyProtection="1">
      <alignment horizontal="center"/>
      <protection hidden="1"/>
    </xf>
    <xf numFmtId="0" fontId="0" fillId="0" borderId="28" xfId="0" applyBorder="1" applyAlignment="1" applyProtection="1">
      <alignment horizontal="center"/>
      <protection hidden="1"/>
    </xf>
    <xf numFmtId="164" fontId="0" fillId="0" borderId="4" xfId="0" applyNumberFormat="1" applyBorder="1" applyAlignment="1" applyProtection="1">
      <alignment horizontal="center"/>
      <protection hidden="1"/>
    </xf>
    <xf numFmtId="168" fontId="0" fillId="2" borderId="0" xfId="0" applyNumberFormat="1" applyFill="1" applyAlignment="1" applyProtection="1">
      <alignment horizontal="center"/>
      <protection locked="0"/>
    </xf>
    <xf numFmtId="0" fontId="1" fillId="2" borderId="0" xfId="0" applyFont="1" applyFill="1" applyAlignment="1" applyProtection="1">
      <alignment horizontal="center"/>
      <protection locked="0"/>
    </xf>
    <xf numFmtId="0" fontId="6" fillId="3" borderId="4" xfId="0" applyFont="1" applyFill="1" applyBorder="1" applyAlignment="1">
      <alignment horizontal="center" vertical="top" wrapText="1"/>
    </xf>
    <xf numFmtId="0" fontId="6" fillId="3" borderId="31" xfId="0" applyFont="1" applyFill="1" applyBorder="1" applyAlignment="1">
      <alignment horizontal="center" vertical="top" wrapText="1"/>
    </xf>
    <xf numFmtId="0" fontId="15" fillId="3" borderId="27" xfId="0" applyFont="1" applyFill="1" applyBorder="1" applyAlignment="1">
      <alignment horizontal="left" vertical="center"/>
    </xf>
    <xf numFmtId="0" fontId="6" fillId="3" borderId="13" xfId="0" applyFont="1" applyFill="1" applyBorder="1" applyAlignment="1">
      <alignment horizontal="left" vertical="top" wrapText="1"/>
    </xf>
    <xf numFmtId="0" fontId="6" fillId="3" borderId="11" xfId="0" applyFont="1" applyFill="1" applyBorder="1" applyAlignment="1">
      <alignment horizontal="center" vertical="top" wrapText="1"/>
    </xf>
    <xf numFmtId="1" fontId="2" fillId="4" borderId="13" xfId="0" applyNumberFormat="1" applyFont="1" applyFill="1" applyBorder="1" applyAlignment="1">
      <alignment horizontal="left"/>
    </xf>
    <xf numFmtId="0" fontId="2" fillId="4" borderId="13" xfId="0" applyFont="1" applyFill="1" applyBorder="1" applyAlignment="1">
      <alignment horizontal="left"/>
    </xf>
    <xf numFmtId="1" fontId="2" fillId="4" borderId="14" xfId="0" applyNumberFormat="1" applyFont="1" applyFill="1" applyBorder="1" applyAlignment="1">
      <alignment horizontal="left"/>
    </xf>
    <xf numFmtId="0" fontId="0" fillId="4" borderId="15"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15" fillId="2" borderId="27" xfId="0" applyFont="1" applyFill="1" applyBorder="1" applyAlignment="1">
      <alignment horizontal="left" vertical="center"/>
    </xf>
    <xf numFmtId="166" fontId="1" fillId="4" borderId="13" xfId="0" applyNumberFormat="1" applyFont="1" applyFill="1" applyBorder="1" applyAlignment="1">
      <alignment horizontal="center"/>
    </xf>
    <xf numFmtId="166" fontId="1" fillId="4" borderId="11" xfId="0" applyNumberFormat="1" applyFont="1" applyFill="1" applyBorder="1" applyAlignment="1">
      <alignment horizontal="center"/>
    </xf>
    <xf numFmtId="166" fontId="1" fillId="4" borderId="13" xfId="0" applyNumberFormat="1" applyFont="1" applyFill="1" applyBorder="1" applyAlignment="1" applyProtection="1">
      <alignment horizontal="center"/>
      <protection locked="0"/>
    </xf>
    <xf numFmtId="166" fontId="1" fillId="4" borderId="11" xfId="0" applyNumberFormat="1" applyFont="1" applyFill="1" applyBorder="1" applyAlignment="1" applyProtection="1">
      <alignment horizontal="center"/>
      <protection locked="0"/>
    </xf>
    <xf numFmtId="166" fontId="0" fillId="4" borderId="13" xfId="0" applyNumberFormat="1" applyFill="1" applyBorder="1" applyAlignment="1" applyProtection="1">
      <alignment horizontal="center"/>
      <protection locked="0"/>
    </xf>
    <xf numFmtId="166" fontId="0" fillId="4" borderId="11" xfId="0" applyNumberFormat="1" applyFill="1" applyBorder="1" applyAlignment="1" applyProtection="1">
      <alignment horizontal="center"/>
      <protection locked="0"/>
    </xf>
    <xf numFmtId="164" fontId="0" fillId="0" borderId="11" xfId="0" applyNumberFormat="1" applyBorder="1" applyAlignment="1" applyProtection="1">
      <alignment horizontal="center"/>
      <protection locked="0"/>
    </xf>
    <xf numFmtId="164" fontId="0" fillId="3" borderId="4" xfId="0" applyNumberFormat="1" applyFill="1" applyBorder="1" applyAlignment="1" applyProtection="1">
      <alignment horizontal="center"/>
      <protection hidden="1"/>
    </xf>
    <xf numFmtId="0" fontId="1" fillId="4" borderId="45" xfId="0" applyFont="1" applyFill="1" applyBorder="1" applyAlignment="1" applyProtection="1">
      <alignment horizontal="center"/>
      <protection locked="0"/>
    </xf>
    <xf numFmtId="0" fontId="1" fillId="4" borderId="39" xfId="0" applyFont="1" applyFill="1" applyBorder="1" applyAlignment="1" applyProtection="1">
      <alignment horizontal="center"/>
      <protection locked="0"/>
    </xf>
    <xf numFmtId="0" fontId="4" fillId="0" borderId="0" xfId="0" applyFont="1"/>
    <xf numFmtId="2" fontId="0" fillId="4" borderId="30" xfId="0" applyNumberFormat="1" applyFill="1" applyBorder="1" applyAlignment="1" applyProtection="1">
      <alignment horizontal="center"/>
      <protection hidden="1"/>
    </xf>
    <xf numFmtId="0" fontId="37" fillId="2" borderId="27" xfId="0" applyFont="1" applyFill="1" applyBorder="1" applyAlignment="1">
      <alignment horizontal="center" vertical="center"/>
    </xf>
    <xf numFmtId="0" fontId="37" fillId="2" borderId="28" xfId="0" applyFont="1" applyFill="1" applyBorder="1" applyAlignment="1">
      <alignment horizontal="center" vertical="center"/>
    </xf>
    <xf numFmtId="0" fontId="37" fillId="2" borderId="35" xfId="0" applyFont="1" applyFill="1" applyBorder="1" applyAlignment="1">
      <alignment horizontal="center" vertical="center" wrapText="1"/>
    </xf>
    <xf numFmtId="0" fontId="27" fillId="0" borderId="0" xfId="0" applyFont="1" applyAlignment="1" applyProtection="1">
      <alignment horizontal="right"/>
      <protection hidden="1"/>
    </xf>
    <xf numFmtId="0" fontId="27" fillId="0" borderId="0" xfId="0" applyFont="1" applyAlignment="1" applyProtection="1">
      <alignment horizontal="center"/>
      <protection hidden="1"/>
    </xf>
    <xf numFmtId="0" fontId="35" fillId="4" borderId="50" xfId="0" applyFont="1" applyFill="1" applyBorder="1" applyAlignment="1">
      <alignment horizontal="center" vertical="top" wrapText="1"/>
    </xf>
    <xf numFmtId="0" fontId="35" fillId="4" borderId="51" xfId="0" applyFont="1" applyFill="1" applyBorder="1" applyAlignment="1">
      <alignment horizontal="center" vertical="top" wrapText="1"/>
    </xf>
    <xf numFmtId="0" fontId="35" fillId="13" borderId="50" xfId="0" applyFont="1" applyFill="1" applyBorder="1" applyAlignment="1">
      <alignment horizontal="center" vertical="top" wrapText="1"/>
    </xf>
    <xf numFmtId="43" fontId="35" fillId="13" borderId="51" xfId="0" applyNumberFormat="1" applyFont="1" applyFill="1" applyBorder="1" applyAlignment="1">
      <alignment horizontal="center" vertical="top" wrapText="1"/>
    </xf>
    <xf numFmtId="0" fontId="38" fillId="2" borderId="48" xfId="0" applyFont="1" applyFill="1" applyBorder="1" applyAlignment="1">
      <alignment horizontal="center" vertical="center"/>
    </xf>
    <xf numFmtId="164" fontId="0" fillId="4" borderId="3" xfId="0" applyNumberFormat="1" applyFill="1" applyBorder="1" applyAlignment="1">
      <alignment horizontal="center"/>
    </xf>
    <xf numFmtId="0" fontId="34" fillId="3" borderId="4" xfId="0" applyFont="1" applyFill="1" applyBorder="1" applyAlignment="1">
      <alignment horizontal="center" vertical="top" wrapText="1"/>
    </xf>
    <xf numFmtId="0" fontId="34" fillId="3" borderId="11" xfId="0" applyFont="1" applyFill="1" applyBorder="1" applyAlignment="1">
      <alignment horizontal="center" vertical="top" wrapText="1"/>
    </xf>
    <xf numFmtId="0" fontId="0" fillId="16" borderId="0" xfId="0" applyFill="1"/>
    <xf numFmtId="0" fontId="12" fillId="16" borderId="0" xfId="0" applyFont="1" applyFill="1" applyAlignment="1">
      <alignment horizontal="center" wrapText="1"/>
    </xf>
    <xf numFmtId="165" fontId="0" fillId="16" borderId="0" xfId="0" applyNumberFormat="1" applyFill="1" applyAlignment="1">
      <alignment horizontal="center"/>
    </xf>
    <xf numFmtId="0" fontId="0" fillId="16" borderId="0" xfId="0" applyFill="1" applyAlignment="1">
      <alignment horizontal="center"/>
    </xf>
    <xf numFmtId="0" fontId="0" fillId="16" borderId="0" xfId="0" applyFill="1" applyAlignment="1">
      <alignment wrapText="1"/>
    </xf>
    <xf numFmtId="0" fontId="39" fillId="14" borderId="33" xfId="0" applyFont="1" applyFill="1" applyBorder="1" applyAlignment="1" applyProtection="1">
      <alignment horizontal="center"/>
      <protection hidden="1"/>
    </xf>
    <xf numFmtId="0" fontId="39" fillId="14" borderId="52" xfId="0" applyFont="1" applyFill="1" applyBorder="1" applyAlignment="1" applyProtection="1">
      <alignment horizontal="right"/>
      <protection hidden="1"/>
    </xf>
    <xf numFmtId="0" fontId="39" fillId="14" borderId="53" xfId="0" applyFont="1" applyFill="1" applyBorder="1" applyAlignment="1" applyProtection="1">
      <alignment horizontal="center"/>
      <protection hidden="1"/>
    </xf>
    <xf numFmtId="0" fontId="39" fillId="14" borderId="40" xfId="0" applyFont="1" applyFill="1" applyBorder="1" applyAlignment="1" applyProtection="1">
      <alignment horizontal="right"/>
      <protection hidden="1"/>
    </xf>
    <xf numFmtId="0" fontId="14" fillId="0" borderId="0" xfId="0" applyFont="1" applyAlignment="1" applyProtection="1">
      <alignment horizontal="center"/>
      <protection locked="0"/>
    </xf>
    <xf numFmtId="0" fontId="36" fillId="2" borderId="54" xfId="0" applyFont="1" applyFill="1" applyBorder="1" applyAlignment="1" applyProtection="1">
      <alignment horizontal="center" vertical="center"/>
      <protection locked="0"/>
    </xf>
    <xf numFmtId="43" fontId="37" fillId="2" borderId="53" xfId="1" applyFont="1" applyFill="1" applyBorder="1" applyAlignment="1" applyProtection="1">
      <alignment horizontal="center" vertical="center"/>
      <protection locked="0"/>
    </xf>
    <xf numFmtId="43" fontId="31" fillId="0" borderId="0" xfId="1" applyFont="1" applyFill="1" applyBorder="1" applyAlignment="1" applyProtection="1">
      <alignment horizontal="center" vertical="center"/>
      <protection locked="0"/>
    </xf>
    <xf numFmtId="0" fontId="32" fillId="0" borderId="0" xfId="0" applyFont="1" applyAlignment="1" applyProtection="1">
      <alignment horizontal="center" vertical="center"/>
      <protection locked="0"/>
    </xf>
    <xf numFmtId="0" fontId="34" fillId="3" borderId="48" xfId="0" applyFont="1" applyFill="1" applyBorder="1" applyAlignment="1" applyProtection="1">
      <alignment horizontal="center" vertical="top" wrapText="1"/>
      <protection locked="0"/>
    </xf>
    <xf numFmtId="0" fontId="35" fillId="0" borderId="0" xfId="0" applyFont="1" applyAlignment="1" applyProtection="1">
      <alignment horizontal="center" vertical="top" wrapText="1"/>
      <protection locked="0"/>
    </xf>
    <xf numFmtId="0" fontId="34" fillId="0" borderId="0" xfId="0" applyFont="1" applyAlignment="1" applyProtection="1">
      <alignment vertical="top"/>
      <protection locked="0"/>
    </xf>
    <xf numFmtId="164" fontId="0" fillId="0" borderId="0" xfId="0" applyNumberFormat="1" applyAlignment="1" applyProtection="1">
      <alignment horizontal="center"/>
      <protection locked="0"/>
    </xf>
    <xf numFmtId="164" fontId="0" fillId="2" borderId="49" xfId="0" applyNumberFormat="1" applyFill="1" applyBorder="1" applyAlignment="1" applyProtection="1">
      <alignment horizontal="center"/>
      <protection locked="0"/>
    </xf>
    <xf numFmtId="164" fontId="0" fillId="2" borderId="32" xfId="0" applyNumberFormat="1" applyFill="1" applyBorder="1" applyAlignment="1" applyProtection="1">
      <alignment horizontal="center"/>
      <protection locked="0"/>
    </xf>
    <xf numFmtId="1" fontId="2" fillId="2" borderId="14" xfId="0" applyNumberFormat="1" applyFont="1" applyFill="1" applyBorder="1" applyAlignment="1" applyProtection="1">
      <alignment horizontal="center"/>
      <protection locked="0"/>
    </xf>
    <xf numFmtId="1" fontId="2" fillId="2" borderId="15" xfId="0" applyNumberFormat="1" applyFont="1" applyFill="1" applyBorder="1" applyAlignment="1" applyProtection="1">
      <alignment horizontal="center"/>
      <protection locked="0"/>
    </xf>
    <xf numFmtId="165" fontId="0" fillId="2" borderId="15" xfId="0" applyNumberFormat="1" applyFill="1" applyBorder="1" applyAlignment="1" applyProtection="1">
      <alignment horizontal="center"/>
      <protection locked="0"/>
    </xf>
    <xf numFmtId="0" fontId="0" fillId="2" borderId="38" xfId="0" applyFill="1" applyBorder="1" applyAlignment="1" applyProtection="1">
      <alignment horizontal="center"/>
      <protection locked="0"/>
    </xf>
    <xf numFmtId="0" fontId="0" fillId="2" borderId="36" xfId="0" applyFill="1" applyBorder="1" applyAlignment="1" applyProtection="1">
      <alignment horizontal="center"/>
      <protection locked="0"/>
    </xf>
    <xf numFmtId="0" fontId="0" fillId="2" borderId="2" xfId="0" applyFill="1" applyBorder="1" applyAlignment="1" applyProtection="1">
      <alignment horizontal="center"/>
      <protection locked="0"/>
    </xf>
    <xf numFmtId="0" fontId="0" fillId="2" borderId="36" xfId="0" applyFill="1" applyBorder="1" applyProtection="1">
      <protection locked="0"/>
    </xf>
    <xf numFmtId="0" fontId="0" fillId="2" borderId="2" xfId="0" applyFill="1" applyBorder="1" applyProtection="1">
      <protection locked="0"/>
    </xf>
    <xf numFmtId="0" fontId="0" fillId="2" borderId="38" xfId="0" applyFill="1" applyBorder="1" applyProtection="1">
      <protection locked="0"/>
    </xf>
    <xf numFmtId="164" fontId="0" fillId="2" borderId="38" xfId="0" applyNumberFormat="1" applyFill="1" applyBorder="1" applyAlignment="1" applyProtection="1">
      <alignment horizontal="center"/>
      <protection locked="0"/>
    </xf>
    <xf numFmtId="164" fontId="0" fillId="2" borderId="37" xfId="0" applyNumberFormat="1" applyFill="1" applyBorder="1" applyAlignment="1" applyProtection="1">
      <alignment horizontal="center"/>
      <protection locked="0"/>
    </xf>
    <xf numFmtId="164" fontId="0" fillId="2" borderId="33" xfId="0" applyNumberFormat="1" applyFill="1" applyBorder="1" applyAlignment="1" applyProtection="1">
      <alignment horizontal="center"/>
      <protection locked="0"/>
    </xf>
    <xf numFmtId="0" fontId="2" fillId="0" borderId="0" xfId="0" applyFont="1" applyAlignment="1">
      <alignment horizontal="center" wrapText="1"/>
    </xf>
    <xf numFmtId="0" fontId="2" fillId="2" borderId="27" xfId="0" applyFont="1" applyFill="1" applyBorder="1"/>
    <xf numFmtId="43" fontId="1" fillId="2" borderId="13" xfId="1" applyFont="1" applyFill="1" applyBorder="1" applyAlignment="1" applyProtection="1">
      <alignment vertical="top"/>
    </xf>
    <xf numFmtId="43" fontId="0" fillId="2" borderId="13" xfId="1" applyFont="1" applyFill="1" applyBorder="1" applyProtection="1"/>
    <xf numFmtId="0" fontId="1" fillId="4" borderId="4" xfId="0" applyFont="1" applyFill="1" applyBorder="1" applyAlignment="1">
      <alignment horizontal="center"/>
    </xf>
    <xf numFmtId="0" fontId="1" fillId="4" borderId="11" xfId="0" applyFont="1" applyFill="1" applyBorder="1" applyAlignment="1">
      <alignment horizontal="center"/>
    </xf>
    <xf numFmtId="43" fontId="0" fillId="2" borderId="14" xfId="1" applyFont="1" applyFill="1" applyBorder="1" applyProtection="1"/>
    <xf numFmtId="0" fontId="1" fillId="4" borderId="15" xfId="0" applyFont="1" applyFill="1" applyBorder="1" applyAlignment="1">
      <alignment horizontal="center"/>
    </xf>
    <xf numFmtId="0" fontId="1" fillId="4" borderId="34" xfId="0" applyFont="1" applyFill="1" applyBorder="1" applyAlignment="1">
      <alignment horizontal="center"/>
    </xf>
    <xf numFmtId="0" fontId="6" fillId="5" borderId="55" xfId="0" applyFont="1" applyFill="1" applyBorder="1" applyAlignment="1">
      <alignment horizontal="center" vertical="top" wrapText="1"/>
    </xf>
    <xf numFmtId="0" fontId="35" fillId="3" borderId="56" xfId="0" applyFont="1" applyFill="1" applyBorder="1" applyAlignment="1">
      <alignment horizontal="center" vertical="top" wrapText="1"/>
    </xf>
    <xf numFmtId="1" fontId="2" fillId="4" borderId="30" xfId="0" applyNumberFormat="1" applyFont="1" applyFill="1" applyBorder="1" applyAlignment="1">
      <alignment horizontal="left"/>
    </xf>
    <xf numFmtId="0" fontId="2" fillId="4" borderId="30" xfId="0" applyFont="1" applyFill="1" applyBorder="1" applyAlignment="1">
      <alignment horizontal="left"/>
    </xf>
    <xf numFmtId="1" fontId="2" fillId="4" borderId="30" xfId="0" applyNumberFormat="1" applyFont="1" applyFill="1" applyBorder="1" applyAlignment="1" applyProtection="1">
      <alignment horizontal="left"/>
      <protection locked="0"/>
    </xf>
    <xf numFmtId="0" fontId="2" fillId="4" borderId="30" xfId="0" applyFont="1" applyFill="1" applyBorder="1" applyAlignment="1" applyProtection="1">
      <alignment horizontal="center"/>
      <protection locked="0"/>
    </xf>
    <xf numFmtId="1" fontId="2" fillId="4" borderId="30" xfId="0" applyNumberFormat="1" applyFont="1" applyFill="1" applyBorder="1" applyAlignment="1" applyProtection="1">
      <alignment horizontal="center"/>
      <protection locked="0"/>
    </xf>
    <xf numFmtId="0" fontId="2" fillId="4" borderId="57" xfId="0" applyFont="1" applyFill="1" applyBorder="1" applyAlignment="1" applyProtection="1">
      <alignment horizontal="center"/>
      <protection locked="0"/>
    </xf>
    <xf numFmtId="166" fontId="1" fillId="4" borderId="14" xfId="0" applyNumberFormat="1" applyFont="1" applyFill="1" applyBorder="1" applyAlignment="1" applyProtection="1">
      <alignment horizontal="center"/>
      <protection locked="0"/>
    </xf>
    <xf numFmtId="166" fontId="1" fillId="4" borderId="34" xfId="0" applyNumberFormat="1" applyFont="1" applyFill="1" applyBorder="1" applyAlignment="1" applyProtection="1">
      <alignment horizontal="center"/>
      <protection locked="0"/>
    </xf>
    <xf numFmtId="166" fontId="1" fillId="13" borderId="6" xfId="0" applyNumberFormat="1" applyFont="1" applyFill="1" applyBorder="1"/>
    <xf numFmtId="166" fontId="0" fillId="13" borderId="11" xfId="1" applyNumberFormat="1" applyFont="1" applyFill="1" applyBorder="1" applyProtection="1"/>
    <xf numFmtId="166" fontId="1" fillId="13" borderId="58" xfId="0" applyNumberFormat="1" applyFont="1" applyFill="1" applyBorder="1"/>
    <xf numFmtId="166" fontId="0" fillId="13" borderId="34" xfId="1" applyNumberFormat="1" applyFont="1" applyFill="1" applyBorder="1" applyProtection="1"/>
    <xf numFmtId="43" fontId="37" fillId="2" borderId="43" xfId="1" applyFont="1" applyFill="1" applyBorder="1" applyAlignment="1" applyProtection="1">
      <alignment horizontal="center" vertical="center"/>
    </xf>
    <xf numFmtId="0" fontId="34" fillId="3" borderId="54" xfId="0" applyFont="1" applyFill="1" applyBorder="1" applyAlignment="1">
      <alignment horizontal="center" vertical="top" wrapText="1"/>
    </xf>
    <xf numFmtId="164" fontId="0" fillId="2" borderId="0" xfId="0" applyNumberFormat="1" applyFill="1" applyAlignment="1">
      <alignment horizontal="center"/>
    </xf>
    <xf numFmtId="164" fontId="0" fillId="2" borderId="40" xfId="0" applyNumberFormat="1" applyFill="1" applyBorder="1" applyAlignment="1">
      <alignment horizontal="center"/>
    </xf>
    <xf numFmtId="164" fontId="0" fillId="16" borderId="0" xfId="0" applyNumberFormat="1" applyFill="1" applyAlignment="1">
      <alignment horizontal="center"/>
    </xf>
    <xf numFmtId="0" fontId="34" fillId="3" borderId="14" xfId="0" applyFont="1" applyFill="1" applyBorder="1" applyAlignment="1">
      <alignment horizontal="center" vertical="top" wrapText="1"/>
    </xf>
    <xf numFmtId="0" fontId="34" fillId="3" borderId="34" xfId="0" applyFont="1" applyFill="1" applyBorder="1" applyAlignment="1">
      <alignment horizontal="center" vertical="top" wrapText="1"/>
    </xf>
    <xf numFmtId="0" fontId="34" fillId="3" borderId="15" xfId="0" applyFont="1" applyFill="1" applyBorder="1" applyAlignment="1">
      <alignment horizontal="center" vertical="top" wrapText="1"/>
    </xf>
    <xf numFmtId="14" fontId="30" fillId="0" borderId="0" xfId="0" applyNumberFormat="1" applyFont="1"/>
    <xf numFmtId="168" fontId="0" fillId="0" borderId="0" xfId="0" applyNumberFormat="1" applyAlignment="1" applyProtection="1">
      <alignment horizontal="center"/>
      <protection hidden="1"/>
    </xf>
    <xf numFmtId="2" fontId="0" fillId="0" borderId="0" xfId="0" applyNumberFormat="1" applyAlignment="1" applyProtection="1">
      <alignment horizontal="center"/>
      <protection hidden="1"/>
    </xf>
    <xf numFmtId="0" fontId="9" fillId="0" borderId="0" xfId="0" applyFont="1" applyAlignment="1" applyProtection="1">
      <alignment horizontal="center"/>
      <protection locked="0" hidden="1"/>
    </xf>
    <xf numFmtId="0" fontId="0" fillId="0" borderId="0" xfId="0" applyProtection="1">
      <protection locked="0" hidden="1"/>
    </xf>
    <xf numFmtId="0" fontId="0" fillId="0" borderId="0" xfId="0" applyAlignment="1" applyProtection="1">
      <alignment wrapText="1"/>
      <protection locked="0" hidden="1"/>
    </xf>
    <xf numFmtId="0" fontId="8" fillId="0" borderId="0" xfId="0" applyFont="1" applyProtection="1">
      <protection locked="0" hidden="1"/>
    </xf>
    <xf numFmtId="0" fontId="7" fillId="4" borderId="12" xfId="0" applyFont="1" applyFill="1" applyBorder="1" applyAlignment="1" applyProtection="1">
      <alignment horizontal="center" vertical="center"/>
      <protection locked="0" hidden="1"/>
    </xf>
    <xf numFmtId="0" fontId="0" fillId="0" borderId="0" xfId="0" applyAlignment="1" applyProtection="1">
      <alignment horizontal="center" vertical="center"/>
      <protection locked="0" hidden="1"/>
    </xf>
    <xf numFmtId="1" fontId="6" fillId="10" borderId="12" xfId="0" applyNumberFormat="1"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locked="0" hidden="1"/>
    </xf>
    <xf numFmtId="1" fontId="6" fillId="0" borderId="0" xfId="0" applyNumberFormat="1" applyFont="1" applyAlignment="1" applyProtection="1">
      <alignment horizontal="center" vertical="center"/>
      <protection locked="0" hidden="1"/>
    </xf>
    <xf numFmtId="0" fontId="14" fillId="0" borderId="0" xfId="0" applyFont="1" applyAlignment="1" applyProtection="1">
      <alignment horizontal="center"/>
      <protection locked="0" hidden="1"/>
    </xf>
    <xf numFmtId="0" fontId="0" fillId="2" borderId="0" xfId="0" applyFill="1" applyProtection="1">
      <protection locked="0" hidden="1"/>
    </xf>
    <xf numFmtId="0" fontId="0" fillId="2" borderId="0" xfId="0" applyFill="1" applyAlignment="1" applyProtection="1">
      <alignment wrapText="1"/>
      <protection locked="0" hidden="1"/>
    </xf>
    <xf numFmtId="43" fontId="31" fillId="0" borderId="0" xfId="1" applyFont="1" applyFill="1" applyBorder="1" applyAlignment="1" applyProtection="1">
      <alignment horizontal="center" vertical="center"/>
      <protection locked="0" hidden="1"/>
    </xf>
    <xf numFmtId="0" fontId="33" fillId="0" borderId="0" xfId="0" applyFont="1" applyAlignment="1" applyProtection="1">
      <alignment horizontal="center" vertical="center"/>
      <protection locked="0" hidden="1"/>
    </xf>
    <xf numFmtId="0" fontId="34" fillId="0" borderId="0" xfId="0" applyFont="1" applyAlignment="1" applyProtection="1">
      <alignment horizontal="center" vertical="center" wrapText="1"/>
      <protection locked="0" hidden="1"/>
    </xf>
    <xf numFmtId="0" fontId="32" fillId="0" borderId="0" xfId="0" applyFont="1" applyAlignment="1" applyProtection="1">
      <alignment horizontal="center" vertical="center"/>
      <protection locked="0" hidden="1"/>
    </xf>
    <xf numFmtId="0" fontId="32" fillId="3" borderId="4" xfId="0" applyFont="1" applyFill="1" applyBorder="1" applyAlignment="1" applyProtection="1">
      <alignment horizontal="center" vertical="center"/>
      <protection locked="0" hidden="1"/>
    </xf>
    <xf numFmtId="0" fontId="32" fillId="2" borderId="4" xfId="0" applyFont="1" applyFill="1" applyBorder="1" applyAlignment="1" applyProtection="1">
      <alignment horizontal="center" vertical="center"/>
      <protection locked="0" hidden="1"/>
    </xf>
    <xf numFmtId="0" fontId="32" fillId="3" borderId="4" xfId="0" applyFont="1" applyFill="1" applyBorder="1" applyAlignment="1" applyProtection="1">
      <alignment horizontal="center" vertical="center" wrapText="1"/>
      <protection locked="0" hidden="1"/>
    </xf>
    <xf numFmtId="0" fontId="32" fillId="0" borderId="4" xfId="0" applyFont="1" applyBorder="1" applyAlignment="1" applyProtection="1">
      <alignment horizontal="center" vertical="center"/>
      <protection locked="0" hidden="1"/>
    </xf>
    <xf numFmtId="0" fontId="35" fillId="0" borderId="0" xfId="0" applyFont="1" applyAlignment="1" applyProtection="1">
      <alignment horizontal="center" vertical="top" wrapText="1"/>
      <protection locked="0" hidden="1"/>
    </xf>
    <xf numFmtId="164" fontId="32" fillId="0" borderId="0" xfId="0" applyNumberFormat="1" applyFont="1" applyAlignment="1" applyProtection="1">
      <alignment horizontal="center" vertical="center" wrapText="1"/>
      <protection locked="0" hidden="1"/>
    </xf>
    <xf numFmtId="2" fontId="32" fillId="0" borderId="0" xfId="0" applyNumberFormat="1" applyFont="1" applyAlignment="1" applyProtection="1">
      <alignment horizontal="center" vertical="center"/>
      <protection locked="0" hidden="1"/>
    </xf>
    <xf numFmtId="0" fontId="32" fillId="0" borderId="0" xfId="0" applyFont="1" applyAlignment="1" applyProtection="1">
      <alignment horizontal="center" vertical="center" wrapText="1"/>
      <protection locked="0" hidden="1"/>
    </xf>
    <xf numFmtId="0" fontId="34" fillId="0" borderId="0" xfId="0" applyFont="1" applyAlignment="1" applyProtection="1">
      <alignment vertical="top"/>
      <protection locked="0" hidden="1"/>
    </xf>
    <xf numFmtId="43" fontId="33" fillId="0" borderId="0" xfId="1" applyFont="1" applyFill="1" applyBorder="1" applyAlignment="1" applyProtection="1">
      <alignment horizontal="center" vertical="center"/>
      <protection locked="0" hidden="1"/>
    </xf>
    <xf numFmtId="43" fontId="34" fillId="0" borderId="0" xfId="1" applyFont="1" applyAlignment="1" applyProtection="1">
      <alignment vertical="top"/>
      <protection locked="0" hidden="1"/>
    </xf>
    <xf numFmtId="43" fontId="34" fillId="3" borderId="4" xfId="1" applyFont="1" applyFill="1" applyBorder="1" applyAlignment="1" applyProtection="1">
      <alignment vertical="top"/>
      <protection locked="0" hidden="1"/>
    </xf>
    <xf numFmtId="43" fontId="34" fillId="3" borderId="4" xfId="1" applyFont="1" applyFill="1" applyBorder="1" applyAlignment="1" applyProtection="1">
      <alignment vertical="top" wrapText="1"/>
      <protection locked="0" hidden="1"/>
    </xf>
    <xf numFmtId="0" fontId="34" fillId="2" borderId="4" xfId="0" applyFont="1" applyFill="1" applyBorder="1" applyAlignment="1" applyProtection="1">
      <alignment vertical="top"/>
      <protection locked="0" hidden="1"/>
    </xf>
    <xf numFmtId="0" fontId="34" fillId="3" borderId="4" xfId="0" applyFont="1" applyFill="1" applyBorder="1" applyAlignment="1" applyProtection="1">
      <alignment vertical="top" wrapText="1"/>
      <protection locked="0" hidden="1"/>
    </xf>
    <xf numFmtId="0" fontId="34" fillId="3" borderId="4" xfId="0" applyFont="1" applyFill="1" applyBorder="1" applyAlignment="1" applyProtection="1">
      <alignment vertical="top"/>
      <protection locked="0" hidden="1"/>
    </xf>
    <xf numFmtId="164" fontId="0" fillId="0" borderId="8" xfId="0" applyNumberFormat="1" applyBorder="1" applyAlignment="1" applyProtection="1">
      <alignment horizontal="center"/>
      <protection locked="0" hidden="1"/>
    </xf>
    <xf numFmtId="164" fontId="0" fillId="0" borderId="4" xfId="0" applyNumberFormat="1" applyBorder="1" applyAlignment="1" applyProtection="1">
      <alignment horizontal="center"/>
      <protection locked="0" hidden="1"/>
    </xf>
    <xf numFmtId="164" fontId="11" fillId="0" borderId="0" xfId="0" applyNumberFormat="1" applyFont="1" applyAlignment="1" applyProtection="1">
      <alignment horizontal="center" vertical="center"/>
      <protection locked="0" hidden="1"/>
    </xf>
    <xf numFmtId="0" fontId="11" fillId="0" borderId="0" xfId="0" applyFont="1" applyAlignment="1" applyProtection="1">
      <alignment horizontal="center" vertical="center"/>
      <protection locked="0" hidden="1"/>
    </xf>
    <xf numFmtId="0" fontId="0" fillId="3" borderId="4" xfId="0" applyFill="1" applyBorder="1" applyAlignment="1" applyProtection="1">
      <alignment horizontal="center"/>
      <protection locked="0" hidden="1"/>
    </xf>
    <xf numFmtId="0" fontId="0" fillId="2" borderId="4" xfId="0" applyFill="1" applyBorder="1" applyAlignment="1" applyProtection="1">
      <alignment horizontal="center"/>
      <protection locked="0" hidden="1"/>
    </xf>
    <xf numFmtId="0" fontId="0" fillId="3" borderId="4" xfId="0" applyFill="1" applyBorder="1" applyAlignment="1" applyProtection="1">
      <alignment wrapText="1"/>
      <protection locked="0" hidden="1"/>
    </xf>
    <xf numFmtId="0" fontId="0" fillId="2" borderId="4" xfId="0" applyFill="1" applyBorder="1" applyProtection="1">
      <protection locked="0" hidden="1"/>
    </xf>
    <xf numFmtId="0" fontId="0" fillId="3" borderId="4" xfId="0" applyFill="1" applyBorder="1" applyProtection="1">
      <protection locked="0" hidden="1"/>
    </xf>
    <xf numFmtId="0" fontId="0" fillId="3" borderId="1" xfId="0" applyFill="1" applyBorder="1" applyProtection="1">
      <protection locked="0" hidden="1"/>
    </xf>
    <xf numFmtId="0" fontId="0" fillId="0" borderId="4" xfId="0" applyBorder="1" applyProtection="1">
      <protection locked="0" hidden="1"/>
    </xf>
    <xf numFmtId="164" fontId="0" fillId="0" borderId="0" xfId="0" applyNumberFormat="1" applyAlignment="1" applyProtection="1">
      <alignment horizontal="center"/>
      <protection locked="0" hidden="1"/>
    </xf>
    <xf numFmtId="0" fontId="1" fillId="0" borderId="0" xfId="0" applyFont="1" applyAlignment="1" applyProtection="1">
      <alignment vertical="top"/>
      <protection locked="0" hidden="1"/>
    </xf>
    <xf numFmtId="0" fontId="0" fillId="0" borderId="0" xfId="0" applyAlignment="1" applyProtection="1">
      <alignment horizontal="center"/>
      <protection locked="0" hidden="1"/>
    </xf>
    <xf numFmtId="0" fontId="0" fillId="0" borderId="4" xfId="0" applyBorder="1" applyAlignment="1" applyProtection="1">
      <alignment horizontal="left"/>
      <protection locked="0" hidden="1"/>
    </xf>
    <xf numFmtId="164" fontId="0" fillId="16" borderId="0" xfId="0" applyNumberFormat="1" applyFill="1" applyAlignment="1" applyProtection="1">
      <alignment horizontal="center"/>
      <protection locked="0" hidden="1"/>
    </xf>
    <xf numFmtId="0" fontId="0" fillId="3" borderId="1" xfId="0" applyFill="1" applyBorder="1" applyAlignment="1" applyProtection="1">
      <alignment horizontal="center"/>
      <protection locked="0" hidden="1"/>
    </xf>
    <xf numFmtId="0" fontId="0" fillId="2" borderId="1" xfId="0" applyFill="1" applyBorder="1" applyAlignment="1" applyProtection="1">
      <alignment horizontal="center"/>
      <protection locked="0" hidden="1"/>
    </xf>
    <xf numFmtId="0" fontId="0" fillId="3" borderId="1" xfId="0" applyFill="1" applyBorder="1" applyAlignment="1" applyProtection="1">
      <alignment wrapText="1"/>
      <protection locked="0" hidden="1"/>
    </xf>
    <xf numFmtId="0" fontId="0" fillId="2" borderId="1" xfId="0" applyFill="1" applyBorder="1" applyProtection="1">
      <protection locked="0" hidden="1"/>
    </xf>
    <xf numFmtId="0" fontId="0" fillId="0" borderId="5" xfId="0" applyBorder="1" applyProtection="1">
      <protection locked="0" hidden="1"/>
    </xf>
    <xf numFmtId="49" fontId="25" fillId="3" borderId="9" xfId="0" applyNumberFormat="1" applyFont="1" applyFill="1" applyBorder="1" applyAlignment="1" applyProtection="1">
      <alignment horizontal="center" wrapText="1"/>
      <protection locked="0" hidden="1"/>
    </xf>
    <xf numFmtId="0" fontId="0" fillId="0" borderId="9" xfId="0" applyBorder="1" applyAlignment="1" applyProtection="1">
      <alignment horizontal="center" wrapText="1"/>
      <protection locked="0" hidden="1"/>
    </xf>
    <xf numFmtId="49" fontId="25" fillId="16" borderId="0" xfId="0" applyNumberFormat="1" applyFont="1" applyFill="1" applyAlignment="1" applyProtection="1">
      <alignment horizontal="center" wrapText="1"/>
      <protection locked="0" hidden="1"/>
    </xf>
    <xf numFmtId="0" fontId="13" fillId="3" borderId="5" xfId="0" applyFont="1" applyFill="1" applyBorder="1" applyProtection="1">
      <protection locked="0" hidden="1"/>
    </xf>
    <xf numFmtId="1" fontId="13" fillId="3" borderId="4" xfId="0" applyNumberFormat="1" applyFont="1" applyFill="1" applyBorder="1" applyProtection="1">
      <protection locked="0" hidden="1"/>
    </xf>
    <xf numFmtId="0" fontId="11" fillId="0" borderId="0" xfId="0" applyFont="1" applyAlignment="1" applyProtection="1">
      <alignment horizontal="center"/>
      <protection locked="0" hidden="1"/>
    </xf>
    <xf numFmtId="14" fontId="0" fillId="0" borderId="4" xfId="0" applyNumberFormat="1" applyBorder="1" applyAlignment="1" applyProtection="1">
      <alignment horizontal="center"/>
      <protection hidden="1"/>
    </xf>
    <xf numFmtId="0" fontId="0" fillId="17" borderId="14" xfId="0" applyFill="1" applyBorder="1" applyProtection="1">
      <protection hidden="1"/>
    </xf>
    <xf numFmtId="0" fontId="0" fillId="17" borderId="15" xfId="0" applyFill="1" applyBorder="1" applyProtection="1">
      <protection hidden="1"/>
    </xf>
    <xf numFmtId="14" fontId="0" fillId="17" borderId="15" xfId="0" applyNumberFormat="1" applyFill="1" applyBorder="1" applyAlignment="1" applyProtection="1">
      <alignment horizontal="center"/>
      <protection hidden="1"/>
    </xf>
    <xf numFmtId="0" fontId="1" fillId="16" borderId="0" xfId="0" applyFont="1" applyFill="1" applyAlignment="1">
      <alignment horizontal="center"/>
    </xf>
    <xf numFmtId="0" fontId="1" fillId="0" borderId="0" xfId="0" applyFont="1"/>
    <xf numFmtId="168" fontId="1" fillId="4" borderId="26" xfId="0" applyNumberFormat="1" applyFont="1" applyFill="1" applyBorder="1" applyAlignment="1" applyProtection="1">
      <alignment horizontal="center"/>
      <protection locked="0"/>
    </xf>
    <xf numFmtId="168" fontId="1" fillId="4" borderId="11" xfId="0" applyNumberFormat="1" applyFont="1" applyFill="1" applyBorder="1" applyAlignment="1" applyProtection="1">
      <alignment horizontal="center"/>
      <protection locked="0"/>
    </xf>
    <xf numFmtId="1" fontId="11" fillId="0" borderId="0" xfId="0" applyNumberFormat="1" applyFont="1" applyAlignment="1" applyProtection="1">
      <alignment horizontal="center"/>
      <protection locked="0" hidden="1"/>
    </xf>
    <xf numFmtId="164" fontId="1" fillId="16" borderId="0" xfId="0" applyNumberFormat="1" applyFont="1" applyFill="1" applyAlignment="1" applyProtection="1">
      <alignment horizontal="center"/>
      <protection locked="0" hidden="1"/>
    </xf>
    <xf numFmtId="0" fontId="11" fillId="16" borderId="0" xfId="0" applyFont="1" applyFill="1" applyAlignment="1" applyProtection="1">
      <alignment horizontal="center"/>
      <protection locked="0" hidden="1"/>
    </xf>
    <xf numFmtId="14" fontId="11" fillId="0" borderId="0" xfId="0" applyNumberFormat="1" applyFont="1" applyAlignment="1" applyProtection="1">
      <alignment horizontal="center"/>
      <protection locked="0" hidden="1"/>
    </xf>
    <xf numFmtId="0" fontId="11" fillId="16" borderId="0" xfId="0" applyFont="1" applyFill="1" applyAlignment="1">
      <alignment horizontal="center"/>
    </xf>
    <xf numFmtId="167" fontId="17" fillId="16" borderId="0" xfId="0" applyNumberFormat="1" applyFont="1" applyFill="1" applyAlignment="1">
      <alignment horizontal="center" wrapText="1"/>
    </xf>
    <xf numFmtId="165" fontId="1" fillId="16" borderId="0" xfId="0" applyNumberFormat="1" applyFont="1" applyFill="1" applyAlignment="1">
      <alignment horizontal="center"/>
    </xf>
    <xf numFmtId="164" fontId="0" fillId="0" borderId="4" xfId="0" applyNumberFormat="1" applyBorder="1" applyAlignment="1" applyProtection="1">
      <alignment horizontal="center" vertical="center"/>
      <protection locked="0" hidden="1"/>
    </xf>
    <xf numFmtId="0" fontId="35" fillId="0" borderId="4" xfId="0" applyFont="1" applyBorder="1" applyAlignment="1" applyProtection="1">
      <alignment horizontal="center" vertical="top" wrapText="1"/>
      <protection locked="0" hidden="1"/>
    </xf>
    <xf numFmtId="164" fontId="35" fillId="0" borderId="4" xfId="0" applyNumberFormat="1" applyFont="1" applyBorder="1" applyAlignment="1" applyProtection="1">
      <alignment horizontal="center" vertical="top" wrapText="1"/>
      <protection locked="0" hidden="1"/>
    </xf>
    <xf numFmtId="0" fontId="32" fillId="0" borderId="4" xfId="0" applyFont="1" applyBorder="1" applyAlignment="1" applyProtection="1">
      <alignment horizontal="center" vertical="center" wrapText="1"/>
      <protection locked="0" hidden="1"/>
    </xf>
    <xf numFmtId="164" fontId="32" fillId="0" borderId="4" xfId="0" applyNumberFormat="1" applyFont="1" applyBorder="1" applyAlignment="1" applyProtection="1">
      <alignment horizontal="center" vertical="center"/>
      <protection locked="0" hidden="1"/>
    </xf>
    <xf numFmtId="0" fontId="11" fillId="0" borderId="4" xfId="0" applyFont="1" applyBorder="1" applyAlignment="1" applyProtection="1">
      <alignment horizontal="center" vertical="center"/>
      <protection locked="0" hidden="1"/>
    </xf>
    <xf numFmtId="164" fontId="11" fillId="0" borderId="4" xfId="0" applyNumberFormat="1" applyFont="1" applyBorder="1" applyAlignment="1" applyProtection="1">
      <alignment horizontal="center" vertical="center"/>
      <protection locked="0" hidden="1"/>
    </xf>
    <xf numFmtId="164" fontId="11" fillId="0" borderId="4" xfId="0" applyNumberFormat="1" applyFont="1" applyBorder="1" applyAlignment="1" applyProtection="1">
      <alignment horizontal="center"/>
      <protection locked="0" hidden="1"/>
    </xf>
    <xf numFmtId="164" fontId="4" fillId="0" borderId="4" xfId="0" applyNumberFormat="1" applyFont="1" applyBorder="1" applyAlignment="1" applyProtection="1">
      <alignment horizontal="center"/>
      <protection locked="0" hidden="1"/>
    </xf>
    <xf numFmtId="0" fontId="0" fillId="0" borderId="4" xfId="0" applyBorder="1" applyAlignment="1" applyProtection="1">
      <alignment horizontal="center" vertical="center"/>
      <protection locked="0" hidden="1"/>
    </xf>
    <xf numFmtId="9" fontId="0" fillId="0" borderId="4" xfId="2" applyFont="1" applyFill="1" applyBorder="1" applyAlignment="1" applyProtection="1">
      <alignment horizontal="center"/>
      <protection locked="0" hidden="1"/>
    </xf>
    <xf numFmtId="0" fontId="11" fillId="0" borderId="4" xfId="0" applyFont="1" applyBorder="1" applyAlignment="1" applyProtection="1">
      <alignment horizontal="center"/>
      <protection locked="0" hidden="1"/>
    </xf>
    <xf numFmtId="0" fontId="0" fillId="0" borderId="4" xfId="0" applyBorder="1" applyAlignment="1" applyProtection="1">
      <alignment horizontal="center"/>
      <protection locked="0" hidden="1"/>
    </xf>
    <xf numFmtId="1" fontId="11" fillId="0" borderId="4" xfId="0" applyNumberFormat="1" applyFont="1" applyBorder="1" applyAlignment="1" applyProtection="1">
      <alignment horizontal="center"/>
      <protection locked="0" hidden="1"/>
    </xf>
    <xf numFmtId="0" fontId="0" fillId="0" borderId="5" xfId="0" applyBorder="1" applyAlignment="1" applyProtection="1">
      <alignment horizontal="center"/>
      <protection hidden="1"/>
    </xf>
    <xf numFmtId="164" fontId="11" fillId="0" borderId="1" xfId="0" applyNumberFormat="1" applyFont="1" applyBorder="1" applyAlignment="1" applyProtection="1">
      <alignment horizontal="center" vertical="center"/>
      <protection locked="0" hidden="1"/>
    </xf>
    <xf numFmtId="0" fontId="0" fillId="0" borderId="7" xfId="0" applyBorder="1" applyAlignment="1" applyProtection="1">
      <alignment horizontal="center" vertical="center"/>
      <protection locked="0" hidden="1"/>
    </xf>
    <xf numFmtId="0" fontId="0" fillId="0" borderId="4" xfId="0"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0" fontId="0" fillId="0" borderId="4" xfId="0" applyBorder="1" applyProtection="1">
      <protection locked="0"/>
    </xf>
    <xf numFmtId="0" fontId="0" fillId="0" borderId="4" xfId="0" applyBorder="1" applyAlignment="1" applyProtection="1">
      <alignment horizontal="center"/>
      <protection locked="0"/>
    </xf>
    <xf numFmtId="164" fontId="0" fillId="0" borderId="4" xfId="0" applyNumberFormat="1" applyBorder="1" applyAlignment="1" applyProtection="1">
      <alignment horizontal="center"/>
      <protection locked="0"/>
    </xf>
    <xf numFmtId="164" fontId="11" fillId="0" borderId="4" xfId="0" applyNumberFormat="1" applyFont="1" applyBorder="1" applyAlignment="1" applyProtection="1">
      <alignment horizontal="center" vertical="center"/>
      <protection locked="0"/>
    </xf>
    <xf numFmtId="0" fontId="1" fillId="0" borderId="4" xfId="0" applyFont="1" applyBorder="1" applyAlignment="1" applyProtection="1">
      <alignment vertical="top"/>
      <protection locked="0"/>
    </xf>
    <xf numFmtId="0" fontId="1" fillId="0" borderId="4" xfId="0" applyFont="1" applyBorder="1" applyAlignment="1" applyProtection="1">
      <alignment horizontal="center" vertical="center"/>
      <protection locked="0"/>
    </xf>
    <xf numFmtId="164" fontId="0" fillId="0" borderId="4" xfId="0" applyNumberFormat="1" applyBorder="1" applyAlignment="1" applyProtection="1">
      <alignment horizontal="center" vertical="center"/>
      <protection locked="0"/>
    </xf>
    <xf numFmtId="0" fontId="11" fillId="0" borderId="4" xfId="0" applyFont="1" applyBorder="1" applyAlignment="1" applyProtection="1">
      <alignment horizontal="center"/>
      <protection locked="0"/>
    </xf>
    <xf numFmtId="9" fontId="0" fillId="0" borderId="4" xfId="2" applyFont="1"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22" fillId="12" borderId="43" xfId="0" applyFont="1" applyFill="1" applyBorder="1" applyAlignment="1" applyProtection="1">
      <alignment horizontal="center" vertical="center" wrapText="1"/>
      <protection hidden="1"/>
    </xf>
    <xf numFmtId="0" fontId="1" fillId="0" borderId="4" xfId="0" applyFont="1" applyBorder="1" applyProtection="1">
      <protection locked="0" hidden="1"/>
    </xf>
    <xf numFmtId="0" fontId="22" fillId="0" borderId="0" xfId="0" applyFont="1" applyAlignment="1">
      <alignment horizontal="center" vertical="center"/>
    </xf>
    <xf numFmtId="0" fontId="22" fillId="0" borderId="0" xfId="0" applyFont="1" applyAlignment="1" applyProtection="1">
      <alignment horizontal="left" vertical="center"/>
      <protection hidden="1"/>
    </xf>
    <xf numFmtId="0" fontId="5" fillId="0" borderId="0" xfId="0" applyFont="1" applyAlignment="1">
      <alignment horizontal="center"/>
    </xf>
    <xf numFmtId="0" fontId="11" fillId="0" borderId="0" xfId="0" applyFont="1" applyAlignment="1" applyProtection="1">
      <alignment horizontal="left" vertical="center"/>
      <protection hidden="1"/>
    </xf>
    <xf numFmtId="43" fontId="11" fillId="0" borderId="0" xfId="0" applyNumberFormat="1" applyFont="1" applyAlignment="1" applyProtection="1">
      <alignment horizontal="center" vertical="center"/>
      <protection hidden="1"/>
    </xf>
    <xf numFmtId="43" fontId="25" fillId="0" borderId="0" xfId="0" applyNumberFormat="1" applyFont="1" applyAlignment="1" applyProtection="1">
      <alignment horizontal="center" vertical="center"/>
      <protection hidden="1"/>
    </xf>
    <xf numFmtId="0" fontId="11" fillId="0" borderId="0" xfId="0" applyFont="1" applyAlignment="1" applyProtection="1">
      <alignment horizontal="center" vertical="center"/>
      <protection hidden="1"/>
    </xf>
    <xf numFmtId="0" fontId="13" fillId="0" borderId="0" xfId="0" applyFont="1" applyProtection="1">
      <protection hidden="1"/>
    </xf>
    <xf numFmtId="0" fontId="13" fillId="0" borderId="0" xfId="0" applyFont="1" applyAlignment="1" applyProtection="1">
      <alignment horizontal="left"/>
      <protection hidden="1"/>
    </xf>
    <xf numFmtId="0" fontId="11" fillId="0" borderId="0" xfId="0" applyFont="1" applyAlignment="1" applyProtection="1">
      <alignment horizontal="center"/>
      <protection hidden="1"/>
    </xf>
    <xf numFmtId="0" fontId="26" fillId="0" borderId="0" xfId="0" applyFont="1" applyAlignment="1" applyProtection="1">
      <alignment horizontal="center" vertical="center"/>
      <protection hidden="1"/>
    </xf>
    <xf numFmtId="2" fontId="0" fillId="3" borderId="4" xfId="0" applyNumberFormat="1" applyFill="1" applyBorder="1" applyAlignment="1" applyProtection="1">
      <alignment wrapText="1"/>
      <protection locked="0" hidden="1"/>
    </xf>
    <xf numFmtId="2" fontId="0" fillId="3" borderId="4" xfId="1" applyNumberFormat="1" applyFont="1" applyFill="1" applyBorder="1" applyAlignment="1" applyProtection="1">
      <alignment wrapText="1"/>
      <protection locked="0" hidden="1"/>
    </xf>
    <xf numFmtId="0" fontId="34" fillId="3" borderId="14" xfId="0" applyFont="1" applyFill="1" applyBorder="1" applyAlignment="1" applyProtection="1">
      <alignment horizontal="center" vertical="top" wrapText="1"/>
      <protection hidden="1"/>
    </xf>
    <xf numFmtId="0" fontId="34" fillId="3" borderId="15" xfId="0" applyFont="1" applyFill="1" applyBorder="1" applyAlignment="1" applyProtection="1">
      <alignment horizontal="center" vertical="top"/>
      <protection hidden="1"/>
    </xf>
    <xf numFmtId="1" fontId="2" fillId="4" borderId="25" xfId="0" applyNumberFormat="1" applyFont="1" applyFill="1" applyBorder="1" applyAlignment="1" applyProtection="1">
      <alignment horizontal="center"/>
      <protection hidden="1"/>
    </xf>
    <xf numFmtId="167" fontId="0" fillId="4" borderId="4" xfId="0" applyNumberFormat="1" applyFill="1" applyBorder="1" applyAlignment="1" applyProtection="1">
      <alignment horizontal="center"/>
      <protection hidden="1"/>
    </xf>
    <xf numFmtId="168" fontId="0" fillId="4" borderId="4" xfId="0" applyNumberFormat="1" applyFill="1" applyBorder="1" applyAlignment="1" applyProtection="1">
      <alignment horizontal="center"/>
      <protection hidden="1"/>
    </xf>
    <xf numFmtId="1" fontId="2" fillId="11" borderId="13" xfId="0" applyNumberFormat="1" applyFont="1" applyFill="1" applyBorder="1" applyAlignment="1" applyProtection="1">
      <alignment horizontal="center"/>
      <protection hidden="1"/>
    </xf>
    <xf numFmtId="167" fontId="0" fillId="11" borderId="4" xfId="0" applyNumberFormat="1" applyFill="1" applyBorder="1" applyAlignment="1" applyProtection="1">
      <alignment horizontal="center"/>
      <protection hidden="1"/>
    </xf>
    <xf numFmtId="168" fontId="0" fillId="11" borderId="8" xfId="0" applyNumberFormat="1" applyFill="1" applyBorder="1" applyAlignment="1" applyProtection="1">
      <alignment horizontal="center"/>
      <protection hidden="1"/>
    </xf>
    <xf numFmtId="0" fontId="34" fillId="3" borderId="54" xfId="0" applyFont="1" applyFill="1" applyBorder="1" applyAlignment="1" applyProtection="1">
      <alignment horizontal="center" vertical="top" wrapText="1"/>
      <protection hidden="1"/>
    </xf>
    <xf numFmtId="0" fontId="34" fillId="3" borderId="48" xfId="0" applyFont="1" applyFill="1" applyBorder="1" applyAlignment="1" applyProtection="1">
      <alignment horizontal="center" vertical="top" wrapText="1"/>
      <protection hidden="1"/>
    </xf>
    <xf numFmtId="164" fontId="1" fillId="16" borderId="0" xfId="0" applyNumberFormat="1" applyFont="1" applyFill="1" applyAlignment="1">
      <alignment horizontal="center"/>
    </xf>
    <xf numFmtId="164" fontId="1" fillId="0" borderId="8" xfId="0" applyNumberFormat="1" applyFont="1" applyBorder="1" applyAlignment="1" applyProtection="1">
      <alignment horizontal="center"/>
      <protection locked="0" hidden="1"/>
    </xf>
    <xf numFmtId="164" fontId="0" fillId="0" borderId="0" xfId="0" applyNumberFormat="1" applyAlignment="1" applyProtection="1">
      <alignment horizontal="center"/>
      <protection hidden="1"/>
    </xf>
    <xf numFmtId="0" fontId="0" fillId="0" borderId="54" xfId="0" applyBorder="1" applyProtection="1">
      <protection hidden="1"/>
    </xf>
    <xf numFmtId="0" fontId="0" fillId="0" borderId="52" xfId="0" applyBorder="1" applyProtection="1">
      <protection hidden="1"/>
    </xf>
    <xf numFmtId="0" fontId="0" fillId="0" borderId="53" xfId="0" applyBorder="1" applyProtection="1">
      <protection hidden="1"/>
    </xf>
    <xf numFmtId="0" fontId="5" fillId="0" borderId="0" xfId="0" applyFont="1" applyAlignment="1" applyProtection="1">
      <alignment horizontal="center"/>
      <protection hidden="1"/>
    </xf>
    <xf numFmtId="0" fontId="0" fillId="2" borderId="43" xfId="0" applyFill="1" applyBorder="1" applyProtection="1">
      <protection hidden="1"/>
    </xf>
    <xf numFmtId="0" fontId="22" fillId="0" borderId="0" xfId="0" applyFont="1" applyAlignment="1" applyProtection="1">
      <alignment horizontal="center" vertical="center"/>
      <protection hidden="1"/>
    </xf>
    <xf numFmtId="1" fontId="2" fillId="0" borderId="0" xfId="0" applyNumberFormat="1" applyFont="1" applyAlignment="1" applyProtection="1">
      <alignment horizontal="center" wrapText="1"/>
      <protection locked="0"/>
    </xf>
    <xf numFmtId="0" fontId="32" fillId="0" borderId="8" xfId="0" applyFont="1" applyBorder="1" applyAlignment="1" applyProtection="1">
      <alignment horizontal="center" vertical="center" wrapText="1"/>
      <protection locked="0" hidden="1"/>
    </xf>
    <xf numFmtId="0" fontId="34" fillId="0" borderId="9" xfId="0" applyFont="1" applyBorder="1" applyAlignment="1" applyProtection="1">
      <alignment horizontal="center" vertical="center" wrapText="1"/>
      <protection locked="0" hidden="1"/>
    </xf>
    <xf numFmtId="0" fontId="34" fillId="0" borderId="5" xfId="0" applyFont="1" applyBorder="1" applyAlignment="1" applyProtection="1">
      <alignment horizontal="center" vertical="center" wrapText="1"/>
      <protection locked="0" hidden="1"/>
    </xf>
    <xf numFmtId="0" fontId="21" fillId="2" borderId="59" xfId="0" applyFont="1" applyFill="1" applyBorder="1" applyAlignment="1" applyProtection="1">
      <alignment horizontal="center" wrapText="1"/>
      <protection locked="0" hidden="1"/>
    </xf>
    <xf numFmtId="0" fontId="31" fillId="3" borderId="27" xfId="0" applyFont="1" applyFill="1" applyBorder="1" applyAlignment="1">
      <alignment horizontal="center" vertical="center"/>
    </xf>
    <xf numFmtId="0" fontId="31" fillId="3" borderId="28" xfId="0" applyFont="1" applyFill="1" applyBorder="1" applyAlignment="1">
      <alignment horizontal="center" vertical="center"/>
    </xf>
    <xf numFmtId="0" fontId="31" fillId="3" borderId="35" xfId="0" applyFont="1" applyFill="1" applyBorder="1" applyAlignment="1">
      <alignment horizontal="center" vertical="center"/>
    </xf>
    <xf numFmtId="0" fontId="19" fillId="4" borderId="43" xfId="0" applyFont="1" applyFill="1" applyBorder="1" applyAlignment="1" applyProtection="1">
      <alignment vertical="center" wrapText="1"/>
      <protection locked="0" hidden="1"/>
    </xf>
    <xf numFmtId="0" fontId="19" fillId="4" borderId="46" xfId="0" applyFont="1" applyFill="1" applyBorder="1" applyAlignment="1" applyProtection="1">
      <alignment vertical="center" wrapText="1"/>
      <protection locked="0" hidden="1"/>
    </xf>
    <xf numFmtId="0" fontId="20" fillId="0" borderId="44" xfId="0" applyFont="1" applyBorder="1" applyAlignment="1" applyProtection="1">
      <alignment vertical="center" wrapText="1"/>
      <protection locked="0" hidden="1"/>
    </xf>
    <xf numFmtId="0" fontId="19" fillId="10" borderId="43" xfId="0" applyFont="1" applyFill="1" applyBorder="1" applyAlignment="1" applyProtection="1">
      <alignment vertical="center" wrapText="1"/>
      <protection locked="0" hidden="1"/>
    </xf>
    <xf numFmtId="0" fontId="19" fillId="10" borderId="46" xfId="0" applyFont="1" applyFill="1" applyBorder="1" applyAlignment="1" applyProtection="1">
      <alignment vertical="center" wrapText="1"/>
      <protection locked="0" hidden="1"/>
    </xf>
    <xf numFmtId="0" fontId="19" fillId="0" borderId="43" xfId="0" applyFont="1" applyBorder="1" applyAlignment="1">
      <alignment horizontal="center" vertical="center"/>
    </xf>
    <xf numFmtId="0" fontId="19" fillId="0" borderId="46" xfId="0" applyFont="1" applyBorder="1" applyAlignment="1">
      <alignment horizontal="center" vertical="center"/>
    </xf>
    <xf numFmtId="0" fontId="19" fillId="0" borderId="44" xfId="0" applyFont="1" applyBorder="1" applyAlignment="1">
      <alignment horizontal="center" vertical="center"/>
    </xf>
    <xf numFmtId="0" fontId="8" fillId="3" borderId="43" xfId="0" applyFont="1" applyFill="1" applyBorder="1" applyAlignment="1">
      <alignment horizontal="center" vertical="center"/>
    </xf>
    <xf numFmtId="0" fontId="0" fillId="0" borderId="46" xfId="0" applyBorder="1" applyAlignment="1">
      <alignment horizontal="center" vertical="center"/>
    </xf>
    <xf numFmtId="0" fontId="0" fillId="0" borderId="44" xfId="0" applyBorder="1" applyAlignment="1">
      <alignment horizontal="center" vertical="center"/>
    </xf>
    <xf numFmtId="0" fontId="18" fillId="3" borderId="54" xfId="0" applyFont="1" applyFill="1" applyBorder="1" applyAlignment="1">
      <alignment horizontal="center" vertical="center"/>
    </xf>
    <xf numFmtId="0" fontId="0" fillId="0" borderId="52" xfId="0" applyBorder="1" applyAlignment="1">
      <alignment vertical="center"/>
    </xf>
    <xf numFmtId="0" fontId="0" fillId="0" borderId="53" xfId="0" applyBorder="1" applyAlignment="1">
      <alignment vertical="center"/>
    </xf>
    <xf numFmtId="14" fontId="7" fillId="0" borderId="0" xfId="0" applyNumberFormat="1" applyFont="1" applyAlignment="1">
      <alignment horizontal="center" vertical="center"/>
    </xf>
    <xf numFmtId="0" fontId="0" fillId="0" borderId="0" xfId="0" applyAlignment="1">
      <alignment horizontal="center" vertical="center"/>
    </xf>
    <xf numFmtId="14" fontId="13" fillId="4" borderId="4" xfId="0" applyNumberFormat="1" applyFont="1" applyFill="1" applyBorder="1" applyAlignment="1" applyProtection="1">
      <alignment horizontal="center" vertical="center" wrapText="1"/>
      <protection locked="0"/>
    </xf>
    <xf numFmtId="14" fontId="13" fillId="0" borderId="4" xfId="0" applyNumberFormat="1" applyFont="1" applyBorder="1" applyAlignment="1" applyProtection="1">
      <alignment horizontal="center" vertical="center" wrapText="1"/>
      <protection locked="0"/>
    </xf>
    <xf numFmtId="0" fontId="24" fillId="15" borderId="54" xfId="0" applyFont="1" applyFill="1" applyBorder="1" applyAlignment="1">
      <alignment horizontal="center" vertical="center" wrapText="1"/>
    </xf>
    <xf numFmtId="0" fontId="24" fillId="15" borderId="52" xfId="0" applyFont="1" applyFill="1" applyBorder="1" applyAlignment="1">
      <alignment horizontal="center" vertical="center" wrapText="1"/>
    </xf>
    <xf numFmtId="0" fontId="24" fillId="15" borderId="53" xfId="0" applyFont="1" applyFill="1" applyBorder="1" applyAlignment="1">
      <alignment horizontal="center" vertical="center" wrapText="1"/>
    </xf>
    <xf numFmtId="0" fontId="24" fillId="15" borderId="42" xfId="0" applyFont="1" applyFill="1" applyBorder="1" applyAlignment="1">
      <alignment horizontal="center" vertical="center" wrapText="1"/>
    </xf>
    <xf numFmtId="0" fontId="24" fillId="15" borderId="40" xfId="0" applyFont="1" applyFill="1" applyBorder="1" applyAlignment="1">
      <alignment horizontal="center" vertical="center" wrapText="1"/>
    </xf>
    <xf numFmtId="0" fontId="24" fillId="15" borderId="33" xfId="0" applyFont="1" applyFill="1" applyBorder="1" applyAlignment="1">
      <alignment horizontal="center" vertical="center" wrapText="1"/>
    </xf>
    <xf numFmtId="0" fontId="2" fillId="0" borderId="43" xfId="0" applyFont="1" applyBorder="1" applyAlignment="1">
      <alignment horizontal="center" vertical="center" wrapText="1"/>
    </xf>
    <xf numFmtId="0" fontId="0" fillId="0" borderId="46" xfId="0" applyBorder="1" applyAlignment="1">
      <alignment horizontal="center" vertical="center" wrapText="1"/>
    </xf>
    <xf numFmtId="0" fontId="19" fillId="0" borderId="0" xfId="0" applyFont="1" applyAlignment="1">
      <alignment vertical="center"/>
    </xf>
    <xf numFmtId="0" fontId="20" fillId="0" borderId="0" xfId="0" applyFont="1" applyAlignment="1">
      <alignment vertical="center"/>
    </xf>
    <xf numFmtId="0" fontId="2" fillId="0" borderId="43" xfId="0" applyFont="1"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13" fillId="4" borderId="4" xfId="0" applyFont="1" applyFill="1" applyBorder="1" applyAlignment="1" applyProtection="1">
      <alignment horizontal="center" vertical="center" wrapText="1"/>
      <protection locked="0"/>
    </xf>
    <xf numFmtId="0" fontId="13" fillId="0" borderId="4" xfId="0" applyFont="1" applyBorder="1" applyAlignment="1">
      <alignment horizontal="center" vertical="center" wrapText="1"/>
    </xf>
    <xf numFmtId="0" fontId="9" fillId="0" borderId="60" xfId="0" applyFont="1" applyBorder="1" applyAlignment="1">
      <alignment horizontal="center"/>
    </xf>
    <xf numFmtId="0" fontId="9" fillId="0" borderId="61" xfId="0" applyFont="1" applyBorder="1" applyAlignment="1">
      <alignment horizontal="center"/>
    </xf>
    <xf numFmtId="0" fontId="16" fillId="3" borderId="28" xfId="0" applyFont="1" applyFill="1" applyBorder="1" applyAlignment="1">
      <alignment horizontal="center" vertical="center"/>
    </xf>
    <xf numFmtId="0" fontId="16" fillId="3" borderId="35" xfId="0" applyFont="1" applyFill="1" applyBorder="1" applyAlignment="1">
      <alignment horizontal="center" vertical="center"/>
    </xf>
    <xf numFmtId="0" fontId="16" fillId="7" borderId="4" xfId="0" applyFont="1" applyFill="1" applyBorder="1" applyAlignment="1">
      <alignment horizontal="center" vertical="center"/>
    </xf>
    <xf numFmtId="0" fontId="16" fillId="5" borderId="4" xfId="0" applyFont="1" applyFill="1" applyBorder="1" applyAlignment="1">
      <alignment horizontal="center" vertical="center"/>
    </xf>
    <xf numFmtId="0" fontId="16" fillId="6" borderId="4" xfId="0" applyFont="1" applyFill="1" applyBorder="1" applyAlignment="1">
      <alignment horizontal="center" vertical="center"/>
    </xf>
    <xf numFmtId="0" fontId="16" fillId="8" borderId="4" xfId="0" applyFont="1" applyFill="1" applyBorder="1" applyAlignment="1">
      <alignment horizontal="center" vertical="center"/>
    </xf>
    <xf numFmtId="0" fontId="16" fillId="9" borderId="4" xfId="0" applyFont="1" applyFill="1" applyBorder="1" applyAlignment="1">
      <alignment horizontal="center" vertical="center"/>
    </xf>
    <xf numFmtId="0" fontId="29" fillId="2" borderId="0" xfId="0" applyFont="1" applyFill="1" applyAlignment="1" applyProtection="1">
      <alignment horizontal="center" vertical="center" wrapText="1"/>
      <protection hidden="1"/>
    </xf>
    <xf numFmtId="0" fontId="0" fillId="0" borderId="0" xfId="0" applyAlignment="1" applyProtection="1">
      <alignment wrapText="1"/>
      <protection hidden="1"/>
    </xf>
    <xf numFmtId="0" fontId="11" fillId="0" borderId="54" xfId="0" applyFont="1" applyBorder="1" applyAlignment="1" applyProtection="1">
      <alignment horizontal="center" vertical="center" wrapText="1"/>
      <protection hidden="1"/>
    </xf>
    <xf numFmtId="0" fontId="11" fillId="0" borderId="52" xfId="0" applyFont="1" applyBorder="1" applyAlignment="1" applyProtection="1">
      <alignment horizontal="center" vertical="center" wrapText="1"/>
      <protection hidden="1"/>
    </xf>
    <xf numFmtId="0" fontId="11" fillId="0" borderId="53" xfId="0" applyFont="1" applyBorder="1" applyAlignment="1" applyProtection="1">
      <alignment horizontal="center" vertical="center" wrapText="1"/>
      <protection hidden="1"/>
    </xf>
    <xf numFmtId="0" fontId="11" fillId="0" borderId="42" xfId="0" applyFont="1" applyBorder="1" applyAlignment="1" applyProtection="1">
      <alignment horizontal="center" vertical="center" wrapText="1"/>
      <protection hidden="1"/>
    </xf>
    <xf numFmtId="0" fontId="11" fillId="0" borderId="40" xfId="0" applyFont="1" applyBorder="1" applyAlignment="1" applyProtection="1">
      <alignment horizontal="center" vertical="center" wrapText="1"/>
      <protection hidden="1"/>
    </xf>
    <xf numFmtId="0" fontId="11" fillId="0" borderId="33" xfId="0" applyFont="1" applyBorder="1" applyAlignment="1" applyProtection="1">
      <alignment horizontal="center" vertical="center" wrapText="1"/>
      <protection hidden="1"/>
    </xf>
    <xf numFmtId="2" fontId="22" fillId="12" borderId="43" xfId="0" applyNumberFormat="1" applyFont="1" applyFill="1" applyBorder="1" applyAlignment="1" applyProtection="1">
      <alignment horizontal="center" vertical="center" wrapText="1"/>
      <protection hidden="1"/>
    </xf>
    <xf numFmtId="0" fontId="0" fillId="0" borderId="46" xfId="0" applyBorder="1" applyAlignment="1" applyProtection="1">
      <alignment horizontal="center" wrapText="1"/>
      <protection hidden="1"/>
    </xf>
    <xf numFmtId="0" fontId="0" fillId="0" borderId="44" xfId="0" applyBorder="1" applyAlignment="1" applyProtection="1">
      <alignment horizontal="center" wrapText="1"/>
      <protection hidden="1"/>
    </xf>
    <xf numFmtId="0" fontId="22" fillId="12" borderId="43" xfId="0" applyFont="1" applyFill="1" applyBorder="1" applyAlignment="1" applyProtection="1">
      <alignment horizontal="center" vertical="center" wrapText="1"/>
      <protection hidden="1"/>
    </xf>
    <xf numFmtId="0" fontId="0" fillId="0" borderId="0" xfId="0" applyAlignment="1" applyProtection="1">
      <alignment horizontal="center"/>
      <protection hidden="1"/>
    </xf>
    <xf numFmtId="0" fontId="26" fillId="2" borderId="43" xfId="0" applyFont="1" applyFill="1" applyBorder="1" applyAlignment="1" applyProtection="1">
      <alignment horizontal="center" vertical="center" wrapText="1"/>
      <protection hidden="1"/>
    </xf>
    <xf numFmtId="0" fontId="26" fillId="2" borderId="46" xfId="0" applyFont="1" applyFill="1" applyBorder="1" applyAlignment="1" applyProtection="1">
      <alignment horizontal="center" vertical="center" wrapText="1"/>
      <protection hidden="1"/>
    </xf>
    <xf numFmtId="0" fontId="0" fillId="2" borderId="44" xfId="0" applyFill="1" applyBorder="1" applyAlignment="1" applyProtection="1">
      <alignment horizontal="center" vertical="center" wrapText="1"/>
      <protection hidden="1"/>
    </xf>
    <xf numFmtId="0" fontId="2" fillId="0" borderId="29" xfId="0" applyFont="1" applyBorder="1" applyAlignment="1">
      <alignment horizontal="center"/>
    </xf>
    <xf numFmtId="0" fontId="2" fillId="0" borderId="62" xfId="0" applyFont="1" applyBorder="1" applyAlignment="1">
      <alignment horizontal="center"/>
    </xf>
    <xf numFmtId="0" fontId="2" fillId="0" borderId="47" xfId="0" applyFont="1" applyBorder="1" applyAlignment="1">
      <alignment horizontal="center"/>
    </xf>
    <xf numFmtId="0" fontId="0" fillId="0" borderId="0" xfId="0" applyAlignment="1" applyProtection="1">
      <alignment vertical="center" wrapText="1"/>
      <protection hidden="1"/>
    </xf>
    <xf numFmtId="0" fontId="35" fillId="4" borderId="63" xfId="0" applyFont="1" applyFill="1" applyBorder="1" applyAlignment="1">
      <alignment horizontal="center" vertical="center"/>
    </xf>
    <xf numFmtId="0" fontId="34" fillId="4" borderId="64" xfId="0" applyFont="1" applyFill="1" applyBorder="1" applyAlignment="1">
      <alignment horizontal="center" vertical="center"/>
    </xf>
    <xf numFmtId="0" fontId="35" fillId="13" borderId="63" xfId="0" applyFont="1" applyFill="1" applyBorder="1" applyAlignment="1">
      <alignment horizontal="center" vertical="top"/>
    </xf>
    <xf numFmtId="0" fontId="35" fillId="13" borderId="64" xfId="0" applyFont="1" applyFill="1" applyBorder="1" applyAlignment="1">
      <alignment horizontal="center" vertical="top"/>
    </xf>
    <xf numFmtId="0" fontId="0" fillId="0" borderId="14" xfId="0" applyBorder="1" applyAlignment="1" applyProtection="1">
      <alignment wrapText="1"/>
      <protection hidden="1"/>
    </xf>
    <xf numFmtId="0" fontId="0" fillId="0" borderId="15" xfId="0" applyBorder="1" applyAlignment="1" applyProtection="1">
      <alignment wrapText="1"/>
      <protection hidden="1"/>
    </xf>
    <xf numFmtId="0" fontId="23" fillId="3" borderId="54" xfId="0" applyFont="1" applyFill="1" applyBorder="1" applyAlignment="1" applyProtection="1">
      <alignment horizontal="center" vertical="center" wrapText="1"/>
      <protection hidden="1"/>
    </xf>
    <xf numFmtId="0" fontId="23" fillId="3" borderId="52" xfId="0" applyFont="1" applyFill="1" applyBorder="1" applyAlignment="1" applyProtection="1">
      <alignment horizontal="center" vertical="center" wrapText="1"/>
      <protection hidden="1"/>
    </xf>
    <xf numFmtId="0" fontId="23" fillId="3" borderId="53" xfId="0" applyFont="1" applyFill="1" applyBorder="1" applyAlignment="1" applyProtection="1">
      <alignment horizontal="center" vertical="center" wrapText="1"/>
      <protection hidden="1"/>
    </xf>
    <xf numFmtId="0" fontId="23" fillId="3" borderId="42" xfId="0" applyFont="1" applyFill="1" applyBorder="1" applyAlignment="1" applyProtection="1">
      <alignment horizontal="center" vertical="center" wrapText="1"/>
      <protection hidden="1"/>
    </xf>
    <xf numFmtId="0" fontId="23" fillId="3" borderId="40" xfId="0" applyFont="1" applyFill="1" applyBorder="1" applyAlignment="1" applyProtection="1">
      <alignment horizontal="center" vertical="center" wrapText="1"/>
      <protection hidden="1"/>
    </xf>
    <xf numFmtId="0" fontId="23" fillId="3" borderId="33" xfId="0" applyFont="1" applyFill="1" applyBorder="1" applyAlignment="1" applyProtection="1">
      <alignment horizontal="center" vertical="center" wrapText="1"/>
      <protection hidden="1"/>
    </xf>
    <xf numFmtId="0" fontId="0" fillId="0" borderId="27" xfId="0" applyBorder="1" applyAlignment="1" applyProtection="1">
      <alignment wrapText="1"/>
      <protection hidden="1"/>
    </xf>
    <xf numFmtId="0" fontId="0" fillId="0" borderId="28" xfId="0" applyBorder="1" applyAlignment="1" applyProtection="1">
      <alignment wrapText="1"/>
      <protection hidden="1"/>
    </xf>
    <xf numFmtId="0" fontId="0" fillId="0" borderId="13" xfId="0" applyBorder="1" applyAlignment="1" applyProtection="1">
      <alignment wrapText="1"/>
      <protection hidden="1"/>
    </xf>
    <xf numFmtId="0" fontId="0" fillId="0" borderId="4" xfId="0" applyBorder="1" applyAlignment="1" applyProtection="1">
      <alignment wrapText="1"/>
      <protection hidden="1"/>
    </xf>
    <xf numFmtId="0" fontId="2" fillId="0" borderId="54" xfId="0" applyFont="1" applyBorder="1" applyAlignment="1" applyProtection="1">
      <alignment horizontal="center" vertical="center" wrapText="1"/>
      <protection hidden="1"/>
    </xf>
    <xf numFmtId="0" fontId="0" fillId="0" borderId="52" xfId="0" applyBorder="1" applyAlignment="1" applyProtection="1">
      <alignment horizontal="center" vertical="center" wrapText="1"/>
      <protection hidden="1"/>
    </xf>
    <xf numFmtId="0" fontId="0" fillId="0" borderId="53" xfId="0" applyBorder="1" applyAlignment="1" applyProtection="1">
      <alignment horizontal="center" vertical="center" wrapText="1"/>
      <protection hidden="1"/>
    </xf>
    <xf numFmtId="0" fontId="0" fillId="0" borderId="41" xfId="0" applyBorder="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32" xfId="0" applyBorder="1" applyAlignment="1" applyProtection="1">
      <alignment horizontal="center" vertical="center" wrapText="1"/>
      <protection hidden="1"/>
    </xf>
    <xf numFmtId="0" fontId="0" fillId="0" borderId="42" xfId="0" applyBorder="1" applyAlignment="1" applyProtection="1">
      <alignment horizontal="center" vertical="center" wrapText="1"/>
      <protection hidden="1"/>
    </xf>
    <xf numFmtId="0" fontId="0" fillId="0" borderId="40" xfId="0" applyBorder="1" applyAlignment="1" applyProtection="1">
      <alignment horizontal="center" vertical="center" wrapText="1"/>
      <protection hidden="1"/>
    </xf>
    <xf numFmtId="0" fontId="0" fillId="0" borderId="33" xfId="0" applyBorder="1" applyAlignment="1" applyProtection="1">
      <alignment horizontal="center" vertical="center" wrapText="1"/>
      <protection hidden="1"/>
    </xf>
    <xf numFmtId="0" fontId="1" fillId="0" borderId="13" xfId="0" applyFont="1" applyBorder="1" applyAlignment="1" applyProtection="1">
      <alignment wrapText="1"/>
      <protection hidden="1"/>
    </xf>
    <xf numFmtId="0" fontId="23" fillId="3" borderId="37" xfId="0" applyFont="1" applyFill="1" applyBorder="1" applyAlignment="1" applyProtection="1">
      <alignment horizontal="center" vertical="center" wrapText="1"/>
      <protection hidden="1"/>
    </xf>
    <xf numFmtId="0" fontId="1" fillId="0" borderId="27" xfId="0" applyFont="1" applyBorder="1" applyAlignment="1" applyProtection="1">
      <alignment wrapText="1"/>
      <protection hidden="1"/>
    </xf>
    <xf numFmtId="0" fontId="0" fillId="14" borderId="54" xfId="0" applyFill="1" applyBorder="1" applyAlignment="1" applyProtection="1">
      <protection hidden="1"/>
    </xf>
    <xf numFmtId="0" fontId="0" fillId="0" borderId="52" xfId="0" applyBorder="1" applyAlignment="1" applyProtection="1">
      <protection hidden="1"/>
    </xf>
    <xf numFmtId="0" fontId="0" fillId="0" borderId="42" xfId="0" applyBorder="1" applyAlignment="1" applyProtection="1">
      <protection hidden="1"/>
    </xf>
    <xf numFmtId="0" fontId="0" fillId="0" borderId="40" xfId="0" applyBorder="1" applyAlignment="1" applyProtection="1">
      <protection hidden="1"/>
    </xf>
    <xf numFmtId="0" fontId="0" fillId="17" borderId="65" xfId="0" applyFill="1" applyBorder="1" applyAlignment="1" applyProtection="1">
      <protection hidden="1"/>
    </xf>
    <xf numFmtId="0" fontId="0" fillId="17" borderId="66" xfId="0" applyFill="1" applyBorder="1" applyAlignment="1" applyProtection="1">
      <protection hidden="1"/>
    </xf>
    <xf numFmtId="0" fontId="0" fillId="17" borderId="67" xfId="0" applyFill="1" applyBorder="1" applyAlignment="1" applyProtection="1">
      <protection hidden="1"/>
    </xf>
  </cellXfs>
  <cellStyles count="3">
    <cellStyle name="Comma" xfId="1" builtinId="3"/>
    <cellStyle name="Normal" xfId="0" builtinId="0"/>
    <cellStyle name="Percent" xfId="2" builtinId="5"/>
  </cellStyles>
  <dxfs count="13">
    <dxf>
      <fill>
        <patternFill>
          <bgColor indexed="10"/>
        </patternFill>
      </fill>
    </dxf>
    <dxf>
      <fill>
        <patternFill>
          <bgColor indexed="10"/>
        </patternFill>
      </fill>
    </dxf>
    <dxf>
      <fill>
        <patternFill>
          <bgColor indexed="10"/>
        </patternFill>
      </fill>
    </dxf>
    <dxf>
      <fill>
        <patternFill>
          <bgColor indexed="42"/>
        </patternFill>
      </fill>
    </dxf>
    <dxf>
      <fill>
        <patternFill>
          <bgColor indexed="10"/>
        </patternFill>
      </fill>
    </dxf>
    <dxf>
      <font>
        <condense val="0"/>
        <extend val="0"/>
        <color indexed="8"/>
      </font>
      <fill>
        <patternFill>
          <bgColor indexed="10"/>
        </patternFill>
      </fill>
    </dxf>
    <dxf>
      <fill>
        <patternFill>
          <bgColor indexed="10"/>
        </patternFill>
      </fill>
    </dxf>
    <dxf>
      <fill>
        <patternFill>
          <bgColor indexed="10"/>
        </patternFill>
      </fill>
    </dxf>
    <dxf>
      <fill>
        <patternFill>
          <bgColor indexed="10"/>
        </patternFill>
      </fill>
    </dxf>
    <dxf>
      <fill>
        <patternFill>
          <bgColor indexed="42"/>
        </patternFill>
      </fill>
    </dxf>
    <dxf>
      <fill>
        <patternFill>
          <bgColor indexed="10"/>
        </patternFill>
      </fill>
    </dxf>
    <dxf>
      <font>
        <condense val="0"/>
        <extend val="0"/>
        <color indexed="8"/>
      </font>
      <fill>
        <patternFill>
          <bgColor indexed="10"/>
        </patternFill>
      </fill>
    </dxf>
    <dxf>
      <fill>
        <patternFill>
          <bgColor indexed="1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21"/>
    <pageSetUpPr fitToPage="1"/>
  </sheetPr>
  <dimension ref="A1:IB288"/>
  <sheetViews>
    <sheetView tabSelected="1" zoomScale="112" zoomScaleNormal="112" workbookViewId="0">
      <pane xSplit="4" ySplit="8" topLeftCell="E92" activePane="bottomRight" state="frozen"/>
      <selection pane="bottomRight" activeCell="Q5" sqref="Q5"/>
      <selection pane="bottomLeft" activeCell="A9" sqref="A9"/>
      <selection pane="topRight" activeCell="E1" sqref="E1"/>
    </sheetView>
  </sheetViews>
  <sheetFormatPr defaultColWidth="9.140625" defaultRowHeight="15.95"/>
  <cols>
    <col min="1" max="1" width="11.85546875" style="29" customWidth="1"/>
    <col min="2" max="2" width="12.28515625" style="29" customWidth="1"/>
    <col min="3" max="3" width="13" style="29" customWidth="1"/>
    <col min="4" max="4" width="9" style="29" customWidth="1"/>
    <col min="5" max="7" width="7.85546875" style="59" customWidth="1"/>
    <col min="8" max="19" width="7.85546875" style="29" customWidth="1"/>
    <col min="20" max="20" width="10.7109375" style="16" customWidth="1"/>
    <col min="21" max="21" width="10.7109375" style="29" customWidth="1"/>
    <col min="22" max="22" width="7.140625" style="119" customWidth="1"/>
    <col min="23" max="23" width="7" style="119" customWidth="1"/>
    <col min="24" max="24" width="13.140625" style="185" hidden="1" customWidth="1"/>
    <col min="25" max="25" width="14.85546875" style="185" hidden="1" customWidth="1"/>
    <col min="26" max="28" width="13.140625" style="185" hidden="1" customWidth="1"/>
    <col min="29" max="29" width="14.42578125" style="185" hidden="1" customWidth="1"/>
    <col min="30" max="30" width="11.7109375" style="185" hidden="1" customWidth="1"/>
    <col min="31" max="31" width="13.85546875" style="185" hidden="1" customWidth="1"/>
    <col min="32" max="33" width="13.28515625" style="185" hidden="1" customWidth="1"/>
    <col min="34" max="34" width="22.42578125" style="185" hidden="1" customWidth="1"/>
    <col min="35" max="35" width="17.7109375" style="185" hidden="1" customWidth="1"/>
    <col min="36" max="36" width="18.28515625" style="177" hidden="1" customWidth="1"/>
    <col min="37" max="37" width="11.42578125" style="177" hidden="1" customWidth="1"/>
    <col min="38" max="38" width="10.7109375" style="177" hidden="1" customWidth="1"/>
    <col min="39" max="39" width="11" style="177" hidden="1" customWidth="1"/>
    <col min="40" max="40" width="24.140625" style="177" hidden="1" customWidth="1"/>
    <col min="41" max="41" width="24.42578125" style="177" hidden="1" customWidth="1"/>
    <col min="42" max="42" width="2.42578125" style="177" hidden="1" customWidth="1"/>
    <col min="43" max="43" width="18.7109375" style="177" hidden="1" customWidth="1"/>
    <col min="44" max="44" width="8.42578125" style="177" hidden="1" customWidth="1"/>
    <col min="45" max="45" width="9" style="178" hidden="1" customWidth="1"/>
    <col min="46" max="46" width="8.140625" style="178" hidden="1" customWidth="1"/>
    <col min="47" max="47" width="7.85546875" style="178" hidden="1" customWidth="1"/>
    <col min="48" max="48" width="7" style="178" hidden="1" customWidth="1"/>
    <col min="49" max="49" width="7.85546875" style="178" hidden="1" customWidth="1"/>
    <col min="50" max="50" width="8.140625" style="178" hidden="1" customWidth="1"/>
    <col min="51" max="51" width="3" style="178" hidden="1" customWidth="1"/>
    <col min="52" max="52" width="8.7109375" style="177" hidden="1" customWidth="1"/>
    <col min="53" max="53" width="9.28515625" style="177" hidden="1" customWidth="1"/>
    <col min="54" max="54" width="8.42578125" style="177" hidden="1" customWidth="1"/>
    <col min="55" max="55" width="8.140625" style="177" hidden="1" customWidth="1"/>
    <col min="56" max="56" width="7.28515625" style="177" hidden="1" customWidth="1"/>
    <col min="57" max="57" width="8.140625" style="177" hidden="1" customWidth="1"/>
    <col min="58" max="58" width="8.42578125" style="177" hidden="1" customWidth="1"/>
    <col min="59" max="60" width="11.42578125" style="177" hidden="1" customWidth="1"/>
    <col min="61" max="65" width="6.7109375" style="177" hidden="1" customWidth="1"/>
    <col min="66" max="66" width="21" style="177" hidden="1" customWidth="1"/>
    <col min="67" max="67" width="3.42578125" style="177" hidden="1" customWidth="1"/>
    <col min="68" max="68" width="3" style="177" hidden="1" customWidth="1"/>
    <col min="69" max="69" width="148.140625" style="177" hidden="1" customWidth="1"/>
    <col min="70" max="107" width="10.85546875" style="177" hidden="1" customWidth="1"/>
    <col min="108" max="116" width="9.140625" style="177" hidden="1" customWidth="1"/>
    <col min="117" max="236" width="9.140625" style="177" customWidth="1"/>
    <col min="237" max="409" width="9.140625" style="29" customWidth="1"/>
    <col min="410" max="16384" width="9.140625" style="29"/>
  </cols>
  <sheetData>
    <row r="1" spans="1:236" ht="18.95">
      <c r="A1" s="339" t="s">
        <v>0</v>
      </c>
      <c r="B1" s="340"/>
      <c r="C1" s="341"/>
      <c r="D1" s="4"/>
      <c r="E1" s="1"/>
      <c r="F1" s="50"/>
      <c r="G1" s="50"/>
      <c r="H1" s="50"/>
      <c r="I1"/>
      <c r="J1" s="50" t="s">
        <v>1</v>
      </c>
      <c r="K1" s="50"/>
      <c r="L1" s="50"/>
      <c r="M1" s="50"/>
      <c r="N1" s="50"/>
      <c r="O1" s="50"/>
      <c r="P1" s="50"/>
      <c r="Q1" s="50"/>
      <c r="R1" s="50"/>
      <c r="S1" s="50"/>
      <c r="T1" s="50"/>
      <c r="U1"/>
      <c r="V1" s="50"/>
      <c r="W1" s="50"/>
      <c r="X1" s="176"/>
      <c r="Y1" s="176"/>
      <c r="Z1" s="176"/>
      <c r="AA1" s="176"/>
      <c r="AB1" s="176"/>
      <c r="AC1" s="176"/>
      <c r="AD1" s="176"/>
      <c r="AE1" s="176"/>
      <c r="AF1" s="176"/>
      <c r="AG1" s="176"/>
      <c r="AH1" s="176"/>
      <c r="AI1" s="176"/>
      <c r="AS1" s="177"/>
      <c r="AT1" s="177"/>
      <c r="AZ1" s="178"/>
      <c r="BA1" s="178"/>
    </row>
    <row r="2" spans="1:236" ht="17.100000000000001" thickBot="1">
      <c r="A2" s="342"/>
      <c r="B2" s="343"/>
      <c r="C2" s="344"/>
      <c r="D2" s="4"/>
      <c r="E2" s="51"/>
      <c r="F2" s="51"/>
      <c r="G2" s="51"/>
      <c r="H2" s="51"/>
      <c r="I2" s="51"/>
      <c r="J2" s="51"/>
      <c r="K2" s="51"/>
      <c r="L2" s="51"/>
      <c r="M2" s="51"/>
      <c r="N2" s="51"/>
      <c r="O2" s="51"/>
      <c r="P2" s="51"/>
      <c r="Q2" s="51"/>
      <c r="R2" s="51"/>
      <c r="S2" s="51"/>
      <c r="T2" s="51"/>
      <c r="U2"/>
      <c r="V2" s="51"/>
      <c r="W2" s="51"/>
      <c r="X2" s="179"/>
      <c r="Y2" s="179"/>
      <c r="Z2" s="179"/>
      <c r="AA2" s="179"/>
      <c r="AB2" s="179"/>
      <c r="AC2" s="179"/>
      <c r="AD2" s="179"/>
      <c r="AE2" s="179"/>
      <c r="AF2" s="179"/>
      <c r="AG2" s="179"/>
      <c r="AH2" s="179"/>
      <c r="AI2" s="179"/>
      <c r="AS2" s="177"/>
      <c r="AT2" s="177"/>
      <c r="AZ2" s="178"/>
      <c r="BA2" s="178"/>
    </row>
    <row r="3" spans="1:236" ht="17.100000000000001" thickBot="1">
      <c r="A3"/>
      <c r="B3" s="4"/>
      <c r="C3" s="4"/>
      <c r="D3" s="1"/>
      <c r="E3" s="329" t="s">
        <v>2</v>
      </c>
      <c r="F3" s="330"/>
      <c r="G3" s="330"/>
      <c r="H3" s="330"/>
      <c r="I3" s="331"/>
      <c r="J3" s="26"/>
      <c r="K3" s="332" t="s">
        <v>3</v>
      </c>
      <c r="L3" s="333"/>
      <c r="M3" s="333"/>
      <c r="N3" s="333"/>
      <c r="O3" s="333"/>
      <c r="P3" s="334"/>
      <c r="Q3" s="10"/>
      <c r="R3" s="6"/>
      <c r="S3" s="10"/>
      <c r="T3" s="5"/>
      <c r="U3"/>
      <c r="V3" s="5"/>
      <c r="W3" s="5"/>
      <c r="X3" s="321" t="s">
        <v>4</v>
      </c>
      <c r="Y3" s="322"/>
      <c r="Z3" s="322"/>
      <c r="AA3" s="322"/>
      <c r="AB3" s="323"/>
      <c r="AC3" s="180"/>
      <c r="AD3" s="181"/>
      <c r="AE3" s="181"/>
      <c r="AF3" s="181"/>
      <c r="AG3" s="181"/>
      <c r="AH3" s="181"/>
      <c r="AI3" s="181"/>
      <c r="AS3" s="177"/>
      <c r="AZ3" s="178"/>
    </row>
    <row r="4" spans="1:236" ht="31.5" customHeight="1" thickBot="1">
      <c r="A4" s="345" t="s">
        <v>5</v>
      </c>
      <c r="B4" s="346"/>
      <c r="C4" s="58" t="s">
        <v>6</v>
      </c>
      <c r="D4" s="6"/>
      <c r="E4" s="326" t="s">
        <v>7</v>
      </c>
      <c r="F4" s="327"/>
      <c r="G4" s="328"/>
      <c r="H4" s="349">
        <v>1</v>
      </c>
      <c r="I4" s="350"/>
      <c r="J4" s="6"/>
      <c r="K4" s="351" t="s">
        <v>8</v>
      </c>
      <c r="L4" s="352"/>
      <c r="M4" s="352"/>
      <c r="N4" s="352"/>
      <c r="O4" s="337">
        <v>45925</v>
      </c>
      <c r="P4" s="338"/>
      <c r="Q4" s="25"/>
      <c r="R4" s="4"/>
      <c r="S4"/>
      <c r="T4" s="52"/>
      <c r="U4"/>
      <c r="V4" s="56"/>
      <c r="W4" s="56"/>
      <c r="X4" s="324" t="s">
        <v>9</v>
      </c>
      <c r="Y4" s="325"/>
      <c r="Z4" s="325"/>
      <c r="AA4" s="325"/>
      <c r="AB4" s="323"/>
      <c r="AC4" s="182">
        <f>O5-O4</f>
        <v>-45925</v>
      </c>
      <c r="AD4" s="183"/>
      <c r="AE4" s="183"/>
      <c r="AF4" s="183"/>
      <c r="AG4" s="183"/>
      <c r="AH4" s="183"/>
      <c r="AI4" s="183"/>
      <c r="AS4" s="177"/>
      <c r="AZ4" s="178"/>
    </row>
    <row r="5" spans="1:236" ht="31.5" customHeight="1" thickBot="1">
      <c r="A5"/>
      <c r="B5" s="4"/>
      <c r="C5" s="4"/>
      <c r="D5" s="1"/>
      <c r="E5" s="326" t="s">
        <v>10</v>
      </c>
      <c r="F5" s="327"/>
      <c r="G5" s="328"/>
      <c r="H5" s="349" t="s">
        <v>11</v>
      </c>
      <c r="I5" s="350"/>
      <c r="J5" s="6"/>
      <c r="K5" s="347"/>
      <c r="L5" s="348"/>
      <c r="M5" s="348"/>
      <c r="N5" s="348"/>
      <c r="O5" s="335"/>
      <c r="P5" s="336"/>
      <c r="Q5" s="173">
        <f>O4+45</f>
        <v>45970</v>
      </c>
      <c r="R5"/>
      <c r="S5"/>
      <c r="T5" s="4"/>
      <c r="U5" s="240"/>
      <c r="V5" s="57"/>
      <c r="W5" s="57"/>
      <c r="X5" s="184"/>
      <c r="Y5" s="184"/>
      <c r="Z5" s="184"/>
      <c r="AA5" s="184"/>
      <c r="AB5" s="184"/>
      <c r="AC5" s="184"/>
      <c r="AD5" s="184"/>
      <c r="AE5" s="184"/>
      <c r="AF5" s="184"/>
      <c r="AG5" s="184"/>
      <c r="AH5" s="184"/>
      <c r="AI5" s="184"/>
      <c r="AS5" s="177"/>
      <c r="AZ5" s="178"/>
    </row>
    <row r="6" spans="1:236" ht="17.100000000000001" thickBot="1">
      <c r="A6" s="4"/>
      <c r="B6" s="4"/>
      <c r="C6" s="27"/>
      <c r="D6" s="15"/>
      <c r="E6" s="15"/>
      <c r="F6" s="15"/>
      <c r="G6" s="4"/>
      <c r="H6" s="4"/>
      <c r="I6" s="4"/>
      <c r="J6" s="4"/>
      <c r="K6" s="4"/>
      <c r="L6" s="4"/>
      <c r="M6" s="4"/>
      <c r="N6" s="4"/>
      <c r="O6" s="4"/>
      <c r="P6" s="4"/>
      <c r="Q6" s="4"/>
      <c r="R6" s="4"/>
      <c r="S6" s="4"/>
      <c r="T6" s="52"/>
      <c r="U6"/>
      <c r="V6" s="52"/>
      <c r="W6" s="52"/>
      <c r="X6" s="234"/>
      <c r="Y6" s="234"/>
      <c r="Z6" s="234"/>
      <c r="AA6" s="234"/>
      <c r="AB6" s="234"/>
      <c r="AC6" s="234"/>
      <c r="AD6" s="234"/>
      <c r="AE6" s="234"/>
      <c r="AF6" s="234"/>
      <c r="AG6" s="234"/>
      <c r="AH6" s="234"/>
      <c r="AI6" s="234"/>
      <c r="AL6" s="186"/>
      <c r="AM6" s="186"/>
      <c r="AN6" s="186"/>
      <c r="AO6" s="186"/>
      <c r="AP6" s="186"/>
      <c r="AQ6" s="186"/>
      <c r="AR6" s="317" t="s">
        <v>12</v>
      </c>
      <c r="AS6" s="317"/>
      <c r="AT6" s="317"/>
      <c r="AU6" s="317"/>
      <c r="AV6" s="317"/>
      <c r="AW6" s="317"/>
      <c r="AX6" s="317"/>
      <c r="AY6" s="187"/>
      <c r="AZ6" s="317" t="s">
        <v>13</v>
      </c>
      <c r="BA6" s="317"/>
      <c r="BB6" s="317"/>
      <c r="BC6" s="317"/>
      <c r="BD6" s="317"/>
      <c r="BE6" s="317"/>
      <c r="BF6" s="317"/>
      <c r="BI6" s="186"/>
      <c r="BJ6" s="186"/>
      <c r="BK6" s="186"/>
      <c r="BL6" s="186"/>
      <c r="BM6" s="186"/>
      <c r="BN6" s="186"/>
      <c r="BO6" s="186"/>
      <c r="BP6" s="186"/>
      <c r="BQ6" s="186"/>
    </row>
    <row r="7" spans="1:236" s="123" customFormat="1" ht="24" customHeight="1" thickBot="1">
      <c r="A7" s="97"/>
      <c r="B7" s="98"/>
      <c r="C7" s="98"/>
      <c r="D7" s="99"/>
      <c r="E7" s="318" t="s">
        <v>14</v>
      </c>
      <c r="F7" s="319"/>
      <c r="G7" s="320"/>
      <c r="H7" s="318" t="s">
        <v>15</v>
      </c>
      <c r="I7" s="319"/>
      <c r="J7" s="320"/>
      <c r="K7" s="318" t="s">
        <v>16</v>
      </c>
      <c r="L7" s="319"/>
      <c r="M7" s="320"/>
      <c r="N7" s="318" t="s">
        <v>17</v>
      </c>
      <c r="O7" s="319"/>
      <c r="P7" s="320"/>
      <c r="Q7" s="318" t="s">
        <v>18</v>
      </c>
      <c r="R7" s="319"/>
      <c r="S7" s="320"/>
      <c r="T7" s="165"/>
      <c r="U7" s="120"/>
      <c r="V7" s="121"/>
      <c r="W7" s="122"/>
      <c r="X7" s="188"/>
      <c r="Y7" s="188"/>
      <c r="Z7" s="188"/>
      <c r="AA7" s="188"/>
      <c r="AB7" s="189"/>
      <c r="AC7" s="189"/>
      <c r="AD7" s="189"/>
      <c r="AE7" s="189"/>
      <c r="AF7" s="189"/>
      <c r="AG7" s="189"/>
      <c r="AH7" s="189"/>
      <c r="AI7" s="189"/>
      <c r="AJ7" s="190"/>
      <c r="AK7" s="191"/>
      <c r="AL7" s="192"/>
      <c r="AM7" s="192"/>
      <c r="AN7" s="192"/>
      <c r="AO7" s="192"/>
      <c r="AP7" s="193"/>
      <c r="AQ7" s="192"/>
      <c r="AR7" s="194">
        <v>2</v>
      </c>
      <c r="AS7" s="194">
        <v>3</v>
      </c>
      <c r="AT7" s="194">
        <v>4</v>
      </c>
      <c r="AU7" s="194">
        <v>5</v>
      </c>
      <c r="AV7" s="194">
        <v>6</v>
      </c>
      <c r="AW7" s="194">
        <v>7</v>
      </c>
      <c r="AX7" s="194">
        <v>1</v>
      </c>
      <c r="AY7" s="193"/>
      <c r="AZ7" s="194">
        <v>2</v>
      </c>
      <c r="BA7" s="194">
        <v>3</v>
      </c>
      <c r="BB7" s="194">
        <v>4</v>
      </c>
      <c r="BC7" s="194">
        <v>5</v>
      </c>
      <c r="BD7" s="194">
        <v>6</v>
      </c>
      <c r="BE7" s="194">
        <v>7</v>
      </c>
      <c r="BF7" s="194">
        <v>1</v>
      </c>
      <c r="BG7" s="191"/>
      <c r="BH7" s="191"/>
      <c r="BI7" s="314" t="s">
        <v>19</v>
      </c>
      <c r="BJ7" s="315"/>
      <c r="BK7" s="315"/>
      <c r="BL7" s="315"/>
      <c r="BM7" s="316"/>
      <c r="BN7" s="195"/>
      <c r="BO7" s="195"/>
      <c r="BP7" s="195"/>
      <c r="BQ7" s="195"/>
      <c r="BR7" s="191"/>
      <c r="BS7" s="191"/>
      <c r="BT7" s="191"/>
      <c r="BU7" s="191"/>
      <c r="BV7" s="191"/>
      <c r="BW7" s="191"/>
      <c r="BX7" s="191"/>
      <c r="BY7" s="191"/>
      <c r="BZ7" s="191"/>
      <c r="CA7" s="191"/>
      <c r="CB7" s="191"/>
      <c r="CC7" s="191"/>
      <c r="CD7" s="191"/>
      <c r="CE7" s="191"/>
      <c r="CF7" s="191"/>
      <c r="CG7" s="191"/>
      <c r="CH7" s="191"/>
      <c r="CI7" s="191"/>
      <c r="CJ7" s="191"/>
      <c r="CK7" s="191"/>
      <c r="CL7" s="191"/>
      <c r="CM7" s="191"/>
      <c r="CN7" s="191"/>
      <c r="CO7" s="191"/>
      <c r="CP7" s="191"/>
      <c r="CQ7" s="191"/>
      <c r="CR7" s="191"/>
      <c r="CS7" s="191"/>
      <c r="CT7" s="191"/>
      <c r="CU7" s="191"/>
      <c r="CV7" s="191"/>
      <c r="CW7" s="191"/>
      <c r="CX7" s="191"/>
      <c r="CY7" s="191"/>
      <c r="CZ7" s="191"/>
      <c r="DA7" s="191"/>
      <c r="DB7" s="191"/>
      <c r="DC7" s="191"/>
      <c r="DD7" s="191"/>
      <c r="DE7" s="191"/>
      <c r="DF7" s="191"/>
      <c r="DG7" s="191"/>
      <c r="DH7" s="191"/>
      <c r="DI7" s="191"/>
      <c r="DJ7" s="191"/>
      <c r="DK7" s="191"/>
      <c r="DL7" s="191"/>
      <c r="DM7" s="191"/>
      <c r="DN7" s="191"/>
      <c r="DO7" s="191"/>
      <c r="DP7" s="191"/>
      <c r="DQ7" s="191"/>
      <c r="DR7" s="191"/>
      <c r="DS7" s="191"/>
      <c r="DT7" s="191"/>
      <c r="DU7" s="191"/>
      <c r="DV7" s="191"/>
      <c r="DW7" s="191"/>
      <c r="DX7" s="191"/>
      <c r="DY7" s="191"/>
      <c r="DZ7" s="191"/>
      <c r="EA7" s="191"/>
      <c r="EB7" s="191"/>
      <c r="EC7" s="191"/>
      <c r="ED7" s="191"/>
      <c r="EE7" s="191"/>
      <c r="EF7" s="191"/>
      <c r="EG7" s="191"/>
      <c r="EH7" s="191"/>
      <c r="EI7" s="191"/>
      <c r="EJ7" s="191"/>
      <c r="EK7" s="191"/>
      <c r="EL7" s="191"/>
      <c r="EM7" s="191"/>
      <c r="EN7" s="191"/>
      <c r="EO7" s="191"/>
      <c r="EP7" s="191"/>
      <c r="EQ7" s="191"/>
      <c r="ER7" s="191"/>
      <c r="ES7" s="191"/>
      <c r="ET7" s="191"/>
      <c r="EU7" s="191"/>
      <c r="EV7" s="191"/>
      <c r="EW7" s="191"/>
      <c r="EX7" s="191"/>
      <c r="EY7" s="191"/>
      <c r="EZ7" s="191"/>
      <c r="FA7" s="191"/>
      <c r="FB7" s="191"/>
      <c r="FC7" s="191"/>
      <c r="FD7" s="191"/>
      <c r="FE7" s="191"/>
      <c r="FF7" s="191"/>
      <c r="FG7" s="191"/>
      <c r="FH7" s="191"/>
      <c r="FI7" s="191"/>
      <c r="FJ7" s="191"/>
      <c r="FK7" s="191"/>
      <c r="FL7" s="191"/>
      <c r="FM7" s="191"/>
      <c r="FN7" s="191"/>
      <c r="FO7" s="191"/>
      <c r="FP7" s="191"/>
      <c r="FQ7" s="191"/>
      <c r="FR7" s="191"/>
      <c r="FS7" s="191"/>
      <c r="FT7" s="191"/>
      <c r="FU7" s="191"/>
      <c r="FV7" s="191"/>
      <c r="FW7" s="191"/>
      <c r="FX7" s="191"/>
      <c r="FY7" s="191"/>
      <c r="FZ7" s="191"/>
      <c r="GA7" s="191"/>
      <c r="GB7" s="191"/>
      <c r="GC7" s="191"/>
      <c r="GD7" s="191"/>
      <c r="GE7" s="191"/>
      <c r="GF7" s="191"/>
      <c r="GG7" s="191"/>
      <c r="GH7" s="191"/>
      <c r="GI7" s="191"/>
      <c r="GJ7" s="191"/>
      <c r="GK7" s="191"/>
      <c r="GL7" s="191"/>
      <c r="GM7" s="191"/>
      <c r="GN7" s="191"/>
      <c r="GO7" s="191"/>
      <c r="GP7" s="191"/>
      <c r="GQ7" s="191"/>
      <c r="GR7" s="191"/>
      <c r="GS7" s="191"/>
      <c r="GT7" s="191"/>
      <c r="GU7" s="191"/>
      <c r="GV7" s="191"/>
      <c r="GW7" s="191"/>
      <c r="GX7" s="191"/>
      <c r="GY7" s="191"/>
      <c r="GZ7" s="191"/>
      <c r="HA7" s="191"/>
      <c r="HB7" s="191"/>
      <c r="HC7" s="191"/>
      <c r="HD7" s="191"/>
      <c r="HE7" s="191"/>
      <c r="HF7" s="191"/>
      <c r="HG7" s="191"/>
      <c r="HH7" s="191"/>
      <c r="HI7" s="191"/>
      <c r="HJ7" s="191"/>
      <c r="HK7" s="191"/>
      <c r="HL7" s="191"/>
      <c r="HM7" s="191"/>
      <c r="HN7" s="191"/>
      <c r="HO7" s="191"/>
      <c r="HP7" s="191"/>
      <c r="HQ7" s="191"/>
      <c r="HR7" s="191"/>
      <c r="HS7" s="191"/>
      <c r="HT7" s="191"/>
      <c r="HU7" s="191"/>
      <c r="HV7" s="191"/>
      <c r="HW7" s="191"/>
      <c r="HX7" s="191"/>
      <c r="HY7" s="191"/>
      <c r="HZ7" s="191"/>
      <c r="IA7" s="191"/>
      <c r="IB7" s="191"/>
    </row>
    <row r="8" spans="1:236" s="126" customFormat="1" ht="60.75" customHeight="1" thickBot="1">
      <c r="A8" s="294" t="s">
        <v>20</v>
      </c>
      <c r="B8" s="295" t="s">
        <v>21</v>
      </c>
      <c r="C8" s="295" t="s">
        <v>22</v>
      </c>
      <c r="D8" s="171" t="s">
        <v>23</v>
      </c>
      <c r="E8" s="170" t="s">
        <v>24</v>
      </c>
      <c r="F8" s="172" t="s">
        <v>25</v>
      </c>
      <c r="G8" s="171" t="s">
        <v>26</v>
      </c>
      <c r="H8" s="170" t="s">
        <v>24</v>
      </c>
      <c r="I8" s="172" t="s">
        <v>25</v>
      </c>
      <c r="J8" s="171" t="s">
        <v>26</v>
      </c>
      <c r="K8" s="170" t="s">
        <v>24</v>
      </c>
      <c r="L8" s="172" t="s">
        <v>25</v>
      </c>
      <c r="M8" s="171" t="s">
        <v>26</v>
      </c>
      <c r="N8" s="170" t="s">
        <v>24</v>
      </c>
      <c r="O8" s="172" t="s">
        <v>25</v>
      </c>
      <c r="P8" s="171" t="s">
        <v>26</v>
      </c>
      <c r="Q8" s="170" t="s">
        <v>24</v>
      </c>
      <c r="R8" s="172" t="s">
        <v>27</v>
      </c>
      <c r="S8" s="171" t="s">
        <v>26</v>
      </c>
      <c r="T8" s="302" t="s">
        <v>28</v>
      </c>
      <c r="U8" s="303" t="s">
        <v>29</v>
      </c>
      <c r="V8" s="124" t="s">
        <v>30</v>
      </c>
      <c r="W8" s="125"/>
      <c r="X8" s="196" t="s">
        <v>20</v>
      </c>
      <c r="Y8" s="251"/>
      <c r="Z8" s="251" t="s">
        <v>31</v>
      </c>
      <c r="AA8" s="251" t="s">
        <v>32</v>
      </c>
      <c r="AB8" s="252" t="s">
        <v>33</v>
      </c>
      <c r="AC8" s="253"/>
      <c r="AD8" s="254"/>
      <c r="AE8" s="197" t="s">
        <v>34</v>
      </c>
      <c r="AF8" s="198" t="e">
        <f>T104/X104</f>
        <v>#DIV/0!</v>
      </c>
      <c r="AG8" s="198"/>
      <c r="AH8" s="199" t="e">
        <f>CONCATENATE("The subject has consumed an average of ",AF8," drinks per day in the 90 days prior to consent")</f>
        <v>#DIV/0!</v>
      </c>
      <c r="AI8" s="200"/>
      <c r="AJ8" s="201"/>
      <c r="AK8" s="202"/>
      <c r="AL8" s="203" t="s">
        <v>35</v>
      </c>
      <c r="AM8" s="203" t="s">
        <v>36</v>
      </c>
      <c r="AN8" s="204" t="s">
        <v>37</v>
      </c>
      <c r="AO8" s="204" t="s">
        <v>38</v>
      </c>
      <c r="AP8" s="205"/>
      <c r="AQ8" s="206" t="s">
        <v>39</v>
      </c>
      <c r="AR8" s="206" t="s">
        <v>40</v>
      </c>
      <c r="AS8" s="206" t="s">
        <v>41</v>
      </c>
      <c r="AT8" s="206" t="s">
        <v>42</v>
      </c>
      <c r="AU8" s="206" t="s">
        <v>43</v>
      </c>
      <c r="AV8" s="206" t="s">
        <v>44</v>
      </c>
      <c r="AW8" s="206" t="s">
        <v>45</v>
      </c>
      <c r="AX8" s="206" t="s">
        <v>46</v>
      </c>
      <c r="AY8" s="205"/>
      <c r="AZ8" s="206" t="s">
        <v>47</v>
      </c>
      <c r="BA8" s="206" t="s">
        <v>48</v>
      </c>
      <c r="BB8" s="206" t="s">
        <v>49</v>
      </c>
      <c r="BC8" s="206" t="s">
        <v>50</v>
      </c>
      <c r="BD8" s="206" t="s">
        <v>51</v>
      </c>
      <c r="BE8" s="206" t="s">
        <v>52</v>
      </c>
      <c r="BF8" s="206" t="s">
        <v>53</v>
      </c>
      <c r="BG8" s="200"/>
      <c r="BH8" s="200"/>
      <c r="BI8" s="207" t="s">
        <v>54</v>
      </c>
      <c r="BJ8" s="207" t="s">
        <v>55</v>
      </c>
      <c r="BK8" s="207" t="s">
        <v>56</v>
      </c>
      <c r="BL8" s="207" t="s">
        <v>57</v>
      </c>
      <c r="BM8" s="207" t="s">
        <v>58</v>
      </c>
      <c r="BN8" s="206" t="s">
        <v>59</v>
      </c>
      <c r="BO8" s="207"/>
      <c r="BP8" s="207"/>
      <c r="BQ8" s="207" t="s">
        <v>60</v>
      </c>
      <c r="BR8" s="200"/>
      <c r="BS8" s="200"/>
      <c r="BT8" s="200"/>
      <c r="BU8" s="200"/>
      <c r="BV8" s="200"/>
      <c r="BW8" s="200"/>
      <c r="BX8" s="200"/>
      <c r="BY8" s="200"/>
      <c r="BZ8" s="200"/>
      <c r="CA8" s="200"/>
      <c r="CB8" s="200"/>
      <c r="CC8" s="200"/>
      <c r="CD8" s="200"/>
      <c r="CE8" s="200"/>
      <c r="CF8" s="200"/>
      <c r="CG8" s="200"/>
      <c r="CH8" s="200"/>
      <c r="CI8" s="200"/>
      <c r="CJ8" s="200"/>
      <c r="CK8" s="200"/>
      <c r="CL8" s="200"/>
      <c r="CM8" s="200"/>
      <c r="CN8" s="200"/>
      <c r="CO8" s="200"/>
      <c r="CP8" s="200"/>
      <c r="CQ8" s="200"/>
      <c r="CR8" s="200"/>
      <c r="CS8" s="200"/>
      <c r="CT8" s="200"/>
      <c r="CU8" s="200"/>
      <c r="CV8" s="200"/>
      <c r="CW8" s="200"/>
      <c r="CX8" s="200"/>
      <c r="CY8" s="200"/>
      <c r="CZ8" s="200"/>
      <c r="DA8" s="200"/>
      <c r="DB8" s="200"/>
      <c r="DC8" s="200"/>
      <c r="DD8" s="200"/>
      <c r="DE8" s="200"/>
      <c r="DF8" s="200"/>
      <c r="DG8" s="200"/>
      <c r="DH8" s="200"/>
      <c r="DI8" s="200"/>
      <c r="DJ8" s="200"/>
      <c r="DK8" s="200"/>
      <c r="DL8" s="200"/>
      <c r="DM8" s="200"/>
      <c r="DN8" s="200"/>
      <c r="DO8" s="200"/>
      <c r="DP8" s="200"/>
      <c r="DQ8" s="200"/>
      <c r="DR8" s="200"/>
      <c r="DS8" s="200"/>
      <c r="DT8" s="200"/>
      <c r="DU8" s="200"/>
      <c r="DV8" s="200"/>
      <c r="DW8" s="200"/>
      <c r="DX8" s="200"/>
      <c r="DY8" s="200"/>
      <c r="DZ8" s="200"/>
      <c r="EA8" s="200"/>
      <c r="EB8" s="200"/>
      <c r="EC8" s="200"/>
      <c r="ED8" s="200"/>
      <c r="EE8" s="200"/>
      <c r="EF8" s="200"/>
      <c r="EG8" s="200"/>
      <c r="EH8" s="200"/>
      <c r="EI8" s="200"/>
      <c r="EJ8" s="200"/>
      <c r="EK8" s="200"/>
      <c r="EL8" s="200"/>
      <c r="EM8" s="200"/>
      <c r="EN8" s="200"/>
      <c r="EO8" s="200"/>
      <c r="EP8" s="200"/>
      <c r="EQ8" s="200"/>
      <c r="ER8" s="200"/>
      <c r="ES8" s="200"/>
      <c r="ET8" s="200"/>
      <c r="EU8" s="200"/>
      <c r="EV8" s="200"/>
      <c r="EW8" s="200"/>
      <c r="EX8" s="200"/>
      <c r="EY8" s="200"/>
      <c r="EZ8" s="200"/>
      <c r="FA8" s="200"/>
      <c r="FB8" s="200"/>
      <c r="FC8" s="200"/>
      <c r="FD8" s="200"/>
      <c r="FE8" s="200"/>
      <c r="FF8" s="200"/>
      <c r="FG8" s="200"/>
      <c r="FH8" s="200"/>
      <c r="FI8" s="200"/>
      <c r="FJ8" s="200"/>
      <c r="FK8" s="200"/>
      <c r="FL8" s="200"/>
      <c r="FM8" s="200"/>
      <c r="FN8" s="200"/>
      <c r="FO8" s="200"/>
      <c r="FP8" s="200"/>
      <c r="FQ8" s="200"/>
      <c r="FR8" s="200"/>
      <c r="FS8" s="200"/>
      <c r="FT8" s="200"/>
      <c r="FU8" s="200"/>
      <c r="FV8" s="200"/>
      <c r="FW8" s="200"/>
      <c r="FX8" s="200"/>
      <c r="FY8" s="200"/>
      <c r="FZ8" s="200"/>
      <c r="GA8" s="200"/>
      <c r="GB8" s="200"/>
      <c r="GC8" s="200"/>
      <c r="GD8" s="200"/>
      <c r="GE8" s="200"/>
      <c r="GF8" s="200"/>
      <c r="GG8" s="200"/>
      <c r="GH8" s="200"/>
      <c r="GI8" s="200"/>
      <c r="GJ8" s="200"/>
      <c r="GK8" s="200"/>
      <c r="GL8" s="200"/>
      <c r="GM8" s="200"/>
      <c r="GN8" s="200"/>
      <c r="GO8" s="200"/>
      <c r="GP8" s="200"/>
      <c r="GQ8" s="200"/>
      <c r="GR8" s="200"/>
      <c r="GS8" s="200"/>
      <c r="GT8" s="200"/>
      <c r="GU8" s="200"/>
      <c r="GV8" s="200"/>
      <c r="GW8" s="200"/>
      <c r="GX8" s="200"/>
      <c r="GY8" s="200"/>
      <c r="GZ8" s="200"/>
      <c r="HA8" s="200"/>
      <c r="HB8" s="200"/>
      <c r="HC8" s="200"/>
      <c r="HD8" s="200"/>
      <c r="HE8" s="200"/>
      <c r="HF8" s="200"/>
      <c r="HG8" s="200"/>
      <c r="HH8" s="200"/>
      <c r="HI8" s="200"/>
      <c r="HJ8" s="200"/>
      <c r="HK8" s="200"/>
      <c r="HL8" s="200"/>
      <c r="HM8" s="200"/>
      <c r="HN8" s="200"/>
      <c r="HO8" s="200"/>
      <c r="HP8" s="200"/>
      <c r="HQ8" s="200"/>
      <c r="HR8" s="200"/>
      <c r="HS8" s="200"/>
      <c r="HT8" s="200"/>
      <c r="HU8" s="200"/>
      <c r="HV8" s="200"/>
      <c r="HW8" s="200"/>
      <c r="HX8" s="200"/>
      <c r="HY8" s="200"/>
      <c r="HZ8" s="200"/>
      <c r="IA8" s="200"/>
      <c r="IB8" s="200"/>
    </row>
    <row r="9" spans="1:236" ht="17.25" customHeight="1">
      <c r="A9" s="296">
        <v>-90</v>
      </c>
      <c r="B9" s="297">
        <f t="shared" ref="B9:B72" si="0">B10-1</f>
        <v>45835</v>
      </c>
      <c r="C9" s="298">
        <f t="shared" ref="C9:C72" si="1">C10-1</f>
        <v>45835</v>
      </c>
      <c r="D9" s="241" t="s">
        <v>61</v>
      </c>
      <c r="E9" s="43"/>
      <c r="F9" s="44"/>
      <c r="G9" s="45"/>
      <c r="H9" s="53"/>
      <c r="I9" s="54"/>
      <c r="J9" s="55"/>
      <c r="K9" s="43"/>
      <c r="L9" s="44"/>
      <c r="M9" s="45"/>
      <c r="N9" s="43"/>
      <c r="O9" s="44"/>
      <c r="P9" s="45"/>
      <c r="Q9" s="43"/>
      <c r="R9" s="44"/>
      <c r="S9" s="93"/>
      <c r="T9" s="92">
        <f>IF(BN9=0,"M",IF(D9="p1",AL9,IF(D9="p2",AM9,IF(D9="A",0,((E9*F9)*G9/0.6)+((H9*I9)*J9/0.6)+((K9*L9)*M9/0.6)+((N9*O9)*P9/0.6)+((Q9*R9)*S9/0.6)))))</f>
        <v>0</v>
      </c>
      <c r="U9" s="264" t="str">
        <f>IF(T9="M", "M", IF(T9&gt;40, "YES", "NO"))</f>
        <v>NO</v>
      </c>
      <c r="V9" s="91"/>
      <c r="W9" s="127"/>
      <c r="X9" s="208">
        <f t="shared" ref="X9:X98" si="2">IF(T9="M",0,IF(T9=0,0,IF(T9&gt;0,1,0)))</f>
        <v>0</v>
      </c>
      <c r="Y9" s="209"/>
      <c r="Z9" s="209"/>
      <c r="AA9" s="209"/>
      <c r="AB9" s="209"/>
      <c r="AC9" s="255"/>
      <c r="AD9" s="256"/>
      <c r="AE9" s="211"/>
      <c r="AF9" s="211"/>
      <c r="AG9" s="211"/>
      <c r="AH9" s="211"/>
      <c r="AI9" s="177"/>
      <c r="AL9" s="212" t="b">
        <f t="shared" ref="AL9:AL22" si="3">IF(AN9=1,AX9,IF(AN9=2,AR9,IF(AN9=3,AS9,IF(AN9=4,AT9,IF(AN9=5,AU9,IF(AN9=6,AV9,IF(AN9=7,AW9)))))))</f>
        <v>0</v>
      </c>
      <c r="AM9" s="212" t="b">
        <f t="shared" ref="AM9:AM99" si="4">IF(AO9=1,BF9,IF(AO9=2,AZ9,IF(AO9=3,BA9,IF(AO9=4,BB9,IF(AO9=5,BC9,IF(AO9=6,BD9,IF(AO9=7,BE9)))))))</f>
        <v>0</v>
      </c>
      <c r="AN9" s="212" t="str">
        <f>IF(D9="p1",AQ9,"no")</f>
        <v>no</v>
      </c>
      <c r="AO9" s="212" t="str">
        <f>IF(D9="p2",AQ9,"no")</f>
        <v>no</v>
      </c>
      <c r="AP9" s="213"/>
      <c r="AQ9" s="212">
        <f>WEEKDAY(C9)</f>
        <v>6</v>
      </c>
      <c r="AR9" s="214" t="str">
        <f>'P1 Chart'!Q4</f>
        <v>M</v>
      </c>
      <c r="AS9" s="214" t="str">
        <f>'P1 Chart'!Q5</f>
        <v>M</v>
      </c>
      <c r="AT9" s="214">
        <f>'P1 Chart'!Q6</f>
        <v>0.70833333333333348</v>
      </c>
      <c r="AU9" s="214" t="str">
        <f>'P1 Chart'!Q7</f>
        <v>M</v>
      </c>
      <c r="AV9" s="214" t="str">
        <f>'P1 Chart'!Q8</f>
        <v>M</v>
      </c>
      <c r="AW9" s="214">
        <f>'P1 Chart'!Q9</f>
        <v>0.70833333333333348</v>
      </c>
      <c r="AX9" s="214" t="str">
        <f>'P1 Chart'!Q10</f>
        <v>M</v>
      </c>
      <c r="AY9" s="215"/>
      <c r="AZ9" s="216">
        <f>'P1 Chart'!Q17</f>
        <v>0</v>
      </c>
      <c r="BA9" s="216">
        <f>'P1 Chart'!Q18</f>
        <v>0</v>
      </c>
      <c r="BB9" s="216">
        <f>'P1 Chart'!Q19</f>
        <v>0</v>
      </c>
      <c r="BC9" s="216">
        <f>'P1 Chart'!Q20</f>
        <v>0</v>
      </c>
      <c r="BD9" s="216">
        <f>'P1 Chart'!Q21</f>
        <v>0</v>
      </c>
      <c r="BE9" s="216">
        <f>'P1 Chart'!Q22</f>
        <v>0</v>
      </c>
      <c r="BF9" s="216">
        <f>'P1 Chart'!Q23</f>
        <v>0</v>
      </c>
      <c r="BI9" s="217" t="str">
        <f>IF(OR(E9="",F9="",G9=""),"M",1)</f>
        <v>M</v>
      </c>
      <c r="BJ9" s="217" t="str">
        <f>IF(OR(H9="",I9="",J9=""),"M",1)</f>
        <v>M</v>
      </c>
      <c r="BK9" s="217" t="str">
        <f>IF(OR(K9="",L9="",M9=""),"M",1)</f>
        <v>M</v>
      </c>
      <c r="BL9" s="217" t="str">
        <f>IF(OR(N9="",O9="",P9=""),"M",1)</f>
        <v>M</v>
      </c>
      <c r="BM9" s="217" t="str">
        <f>IF(OR(Q9="",R9="",S9=""),"M",1)</f>
        <v>M</v>
      </c>
      <c r="BN9" s="217">
        <f>IF(AND(BI9="M",BJ9="M",BK9="M",BL9="M",BM9="M",D9=""),0,1)</f>
        <v>1</v>
      </c>
      <c r="BO9" s="216">
        <f>SUM(BN9:BN98)</f>
        <v>6</v>
      </c>
      <c r="BP9" s="216"/>
      <c r="BQ9" s="218" t="str">
        <f>IF(BO9=28,BQ19,BQ13)</f>
        <v>There are 84 days of missing drinking data in 90-day screening assessment period. Missing Baseline screening data must be collected prior to randomization.</v>
      </c>
    </row>
    <row r="10" spans="1:236" ht="17.25" customHeight="1">
      <c r="A10" s="296">
        <v>-89</v>
      </c>
      <c r="B10" s="297">
        <f t="shared" si="0"/>
        <v>45836</v>
      </c>
      <c r="C10" s="298">
        <f t="shared" si="1"/>
        <v>45836</v>
      </c>
      <c r="D10" s="242" t="s">
        <v>61</v>
      </c>
      <c r="E10" s="46"/>
      <c r="F10" s="47"/>
      <c r="G10" s="48"/>
      <c r="H10" s="46"/>
      <c r="I10" s="47"/>
      <c r="J10" s="48"/>
      <c r="K10" s="46"/>
      <c r="L10" s="47"/>
      <c r="M10" s="48"/>
      <c r="N10" s="46"/>
      <c r="O10" s="47"/>
      <c r="P10" s="48"/>
      <c r="Q10" s="46"/>
      <c r="R10" s="47"/>
      <c r="S10" s="94"/>
      <c r="T10" s="92">
        <f>IF(BN10=0,"M",IF(D10="p1",AL10,IF(D10="p2",AM10,IF(D10="A",0,((E10*F10)*G10/0.6)+((H10*I10)*J10/0.6)+((K10*L10)*M10/0.6)+((N10*O10)*P10/0.6)+((Q10*R10)*S10/0.6)))))</f>
        <v>0</v>
      </c>
      <c r="U10" s="264" t="str">
        <f t="shared" ref="U10:U32" si="5">IF(T10="M", "M", IF(T10&gt;40, "YES", "NO"))</f>
        <v>NO</v>
      </c>
      <c r="V10" s="91"/>
      <c r="W10" s="127"/>
      <c r="X10" s="208">
        <f t="shared" si="2"/>
        <v>0</v>
      </c>
      <c r="Y10" s="209"/>
      <c r="Z10" s="209"/>
      <c r="AA10" s="209"/>
      <c r="AB10" s="209"/>
      <c r="AC10" s="255"/>
      <c r="AD10" s="257"/>
      <c r="AE10" s="219"/>
      <c r="AF10" s="219"/>
      <c r="AG10" s="219"/>
      <c r="AH10" s="211"/>
      <c r="AI10" s="219"/>
      <c r="AL10" s="212" t="b">
        <f t="shared" si="3"/>
        <v>0</v>
      </c>
      <c r="AM10" s="212" t="b">
        <f t="shared" si="4"/>
        <v>0</v>
      </c>
      <c r="AN10" s="212" t="str">
        <f>IF(D10="p1",AQ10,"no")</f>
        <v>no</v>
      </c>
      <c r="AO10" s="212" t="str">
        <f>IF(D10="p2",AQ10,"no")</f>
        <v>no</v>
      </c>
      <c r="AP10" s="213"/>
      <c r="AQ10" s="212">
        <f>WEEKDAY(C10)</f>
        <v>7</v>
      </c>
      <c r="AR10" s="214" t="str">
        <f t="shared" ref="AR10:AR91" si="6">AR9</f>
        <v>M</v>
      </c>
      <c r="AS10" s="214" t="str">
        <f t="shared" ref="AS10:AX10" si="7">AS9</f>
        <v>M</v>
      </c>
      <c r="AT10" s="214">
        <f t="shared" si="7"/>
        <v>0.70833333333333348</v>
      </c>
      <c r="AU10" s="214" t="str">
        <f t="shared" si="7"/>
        <v>M</v>
      </c>
      <c r="AV10" s="214" t="str">
        <f t="shared" si="7"/>
        <v>M</v>
      </c>
      <c r="AW10" s="214">
        <f t="shared" si="7"/>
        <v>0.70833333333333348</v>
      </c>
      <c r="AX10" s="214" t="str">
        <f t="shared" si="7"/>
        <v>M</v>
      </c>
      <c r="AY10" s="215"/>
      <c r="AZ10" s="214">
        <f t="shared" ref="AZ10:AZ91" si="8">AZ9</f>
        <v>0</v>
      </c>
      <c r="BA10" s="214">
        <f t="shared" ref="BA10:BF10" si="9">BA9</f>
        <v>0</v>
      </c>
      <c r="BB10" s="214">
        <f t="shared" si="9"/>
        <v>0</v>
      </c>
      <c r="BC10" s="214">
        <f t="shared" si="9"/>
        <v>0</v>
      </c>
      <c r="BD10" s="214">
        <f t="shared" si="9"/>
        <v>0</v>
      </c>
      <c r="BE10" s="214">
        <f t="shared" si="9"/>
        <v>0</v>
      </c>
      <c r="BF10" s="214">
        <f t="shared" si="9"/>
        <v>0</v>
      </c>
      <c r="BI10" s="217" t="str">
        <f>IF(OR(E10="",F10="",G10=""),"M",1)</f>
        <v>M</v>
      </c>
      <c r="BJ10" s="217" t="str">
        <f>IF(OR(H10="",I10="",J10=""),"M",1)</f>
        <v>M</v>
      </c>
      <c r="BK10" s="217" t="str">
        <f>IF(OR(K10="",L10="",M10=""),"M",1)</f>
        <v>M</v>
      </c>
      <c r="BL10" s="217" t="str">
        <f>IF(OR(N10="",O10="",P10=""),"M",1)</f>
        <v>M</v>
      </c>
      <c r="BM10" s="217" t="str">
        <f>IF(OR(Q10="",R10="",S10=""),"M",1)</f>
        <v>M</v>
      </c>
      <c r="BN10" s="217">
        <f>IF(AND(BI10="M",BJ10="M",BK10="M",BL10="M",BM10="M",D10=""),0,1)</f>
        <v>1</v>
      </c>
      <c r="BO10" s="216">
        <v>90</v>
      </c>
      <c r="BP10" s="216"/>
      <c r="BQ10" s="218"/>
    </row>
    <row r="11" spans="1:236" ht="17.25" customHeight="1">
      <c r="A11" s="296">
        <v>-88</v>
      </c>
      <c r="B11" s="297">
        <f t="shared" si="0"/>
        <v>45837</v>
      </c>
      <c r="C11" s="298">
        <f t="shared" si="1"/>
        <v>45837</v>
      </c>
      <c r="D11" s="241" t="s">
        <v>61</v>
      </c>
      <c r="E11" s="46"/>
      <c r="F11" s="47"/>
      <c r="G11" s="48"/>
      <c r="H11" s="46"/>
      <c r="I11" s="47"/>
      <c r="J11" s="48"/>
      <c r="K11" s="46"/>
      <c r="L11" s="47"/>
      <c r="M11" s="48"/>
      <c r="N11" s="46"/>
      <c r="O11" s="47"/>
      <c r="P11" s="48"/>
      <c r="Q11" s="46"/>
      <c r="R11" s="47"/>
      <c r="S11" s="94"/>
      <c r="T11" s="92">
        <f>IF(BN11=0,"M",IF(D11="p1",AL11,IF(D11="p2",AM11,IF(D11="A",0,((E11*F11)*G11/0.6)+((H11*I11)*J11/0.6)+((K11*L11)*M11/0.6)+((N11*O11)*P11/0.6)+((Q11*R11)*S11/0.6)))))</f>
        <v>0</v>
      </c>
      <c r="U11" s="264" t="str">
        <f t="shared" si="5"/>
        <v>NO</v>
      </c>
      <c r="V11" s="91"/>
      <c r="W11" s="127"/>
      <c r="X11" s="208">
        <f t="shared" si="2"/>
        <v>0</v>
      </c>
      <c r="Y11" s="209"/>
      <c r="Z11" s="209"/>
      <c r="AA11" s="209"/>
      <c r="AB11" s="209"/>
      <c r="AC11" s="255"/>
      <c r="AD11" s="265"/>
      <c r="AE11" s="210"/>
      <c r="AF11" s="210"/>
      <c r="AG11" s="210"/>
      <c r="AH11" s="211"/>
      <c r="AI11" s="220"/>
      <c r="AL11" s="212" t="b">
        <f t="shared" si="3"/>
        <v>0</v>
      </c>
      <c r="AM11" s="212" t="b">
        <f t="shared" si="4"/>
        <v>0</v>
      </c>
      <c r="AN11" s="212" t="str">
        <f>IF(D11="p1",AQ11,"no")</f>
        <v>no</v>
      </c>
      <c r="AO11" s="212" t="str">
        <f>IF(D11="p2",AQ11,"no")</f>
        <v>no</v>
      </c>
      <c r="AP11" s="213"/>
      <c r="AQ11" s="212">
        <f>WEEKDAY(C11)</f>
        <v>1</v>
      </c>
      <c r="AR11" s="214" t="str">
        <f t="shared" si="6"/>
        <v>M</v>
      </c>
      <c r="AS11" s="214" t="str">
        <f t="shared" ref="AS11:AS91" si="10">AS10</f>
        <v>M</v>
      </c>
      <c r="AT11" s="214">
        <f t="shared" ref="AT11:AT91" si="11">AT10</f>
        <v>0.70833333333333348</v>
      </c>
      <c r="AU11" s="214" t="str">
        <f t="shared" ref="AU11:AU91" si="12">AU10</f>
        <v>M</v>
      </c>
      <c r="AV11" s="214" t="str">
        <f t="shared" ref="AV11:AV91" si="13">AV10</f>
        <v>M</v>
      </c>
      <c r="AW11" s="214">
        <f t="shared" ref="AW11:AW91" si="14">AW10</f>
        <v>0.70833333333333348</v>
      </c>
      <c r="AX11" s="214" t="str">
        <f t="shared" ref="AX11:AX91" si="15">AX10</f>
        <v>M</v>
      </c>
      <c r="AY11" s="215"/>
      <c r="AZ11" s="214">
        <f t="shared" si="8"/>
        <v>0</v>
      </c>
      <c r="BA11" s="214">
        <f t="shared" ref="BA11:BA91" si="16">BA10</f>
        <v>0</v>
      </c>
      <c r="BB11" s="214">
        <f t="shared" ref="BB11:BB91" si="17">BB10</f>
        <v>0</v>
      </c>
      <c r="BC11" s="214">
        <f t="shared" ref="BC11:BC91" si="18">BC10</f>
        <v>0</v>
      </c>
      <c r="BD11" s="214">
        <f t="shared" ref="BD11:BD91" si="19">BD10</f>
        <v>0</v>
      </c>
      <c r="BE11" s="214">
        <f t="shared" ref="BE11:BE91" si="20">BE10</f>
        <v>0</v>
      </c>
      <c r="BF11" s="214">
        <f t="shared" ref="BF11:BF91" si="21">BF10</f>
        <v>0</v>
      </c>
      <c r="BI11" s="217" t="str">
        <f>IF(OR(E11="",F11="",G11=""),"M",1)</f>
        <v>M</v>
      </c>
      <c r="BJ11" s="217" t="str">
        <f>IF(OR(H11="",I11="",J11=""),"M",1)</f>
        <v>M</v>
      </c>
      <c r="BK11" s="217" t="str">
        <f>IF(OR(K11="",L11="",M11=""),"M",1)</f>
        <v>M</v>
      </c>
      <c r="BL11" s="217" t="str">
        <f>IF(OR(N11="",O11="",P11=""),"M",1)</f>
        <v>M</v>
      </c>
      <c r="BM11" s="217" t="str">
        <f>IF(OR(Q11="",R11="",S11=""),"M",1)</f>
        <v>M</v>
      </c>
      <c r="BN11" s="217">
        <f>IF(AND(BI11="M",BJ11="M",BK11="M",BL11="M",BM11="M",D11=""),0,1)</f>
        <v>1</v>
      </c>
      <c r="BO11" s="216"/>
      <c r="BP11" s="216"/>
      <c r="BQ11" s="218"/>
    </row>
    <row r="12" spans="1:236" ht="17.25" customHeight="1">
      <c r="A12" s="296">
        <v>-87</v>
      </c>
      <c r="B12" s="297">
        <f t="shared" si="0"/>
        <v>45838</v>
      </c>
      <c r="C12" s="298">
        <f t="shared" si="1"/>
        <v>45838</v>
      </c>
      <c r="D12" s="242" t="s">
        <v>61</v>
      </c>
      <c r="E12" s="46"/>
      <c r="F12" s="47"/>
      <c r="G12" s="48"/>
      <c r="H12" s="46"/>
      <c r="I12" s="47"/>
      <c r="J12" s="48"/>
      <c r="K12" s="46"/>
      <c r="L12" s="47"/>
      <c r="M12" s="48"/>
      <c r="N12" s="46"/>
      <c r="O12" s="47"/>
      <c r="P12" s="48"/>
      <c r="Q12" s="46"/>
      <c r="R12" s="47"/>
      <c r="S12" s="94"/>
      <c r="T12" s="92">
        <f>IF(BN12=0,"M",IF(D12="p1",AL12,IF(D12="p2",AM12,IF(D12="A",0,((E12*F12)*G12/0.6)+((H12*I12)*J12/0.6)+((K12*L12)*M12/0.6)+((N12*O12)*P12/0.6)+((Q12*R12)*S12/0.6)))))</f>
        <v>0</v>
      </c>
      <c r="U12" s="264" t="str">
        <f t="shared" si="5"/>
        <v>NO</v>
      </c>
      <c r="V12" s="91"/>
      <c r="W12" s="127"/>
      <c r="X12" s="208">
        <f t="shared" si="2"/>
        <v>0</v>
      </c>
      <c r="Y12" s="209"/>
      <c r="Z12" s="209"/>
      <c r="AA12" s="209"/>
      <c r="AB12" s="209"/>
      <c r="AC12" s="255"/>
      <c r="AD12" s="256"/>
      <c r="AE12" s="259"/>
      <c r="AF12" s="259"/>
      <c r="AG12" s="259"/>
      <c r="AH12" s="255"/>
      <c r="AI12" s="218"/>
      <c r="AL12" s="212" t="b">
        <f t="shared" si="3"/>
        <v>0</v>
      </c>
      <c r="AM12" s="212" t="b">
        <f t="shared" si="4"/>
        <v>0</v>
      </c>
      <c r="AN12" s="212" t="str">
        <f>IF(D12="p1",AQ12,"no")</f>
        <v>no</v>
      </c>
      <c r="AO12" s="212" t="str">
        <f>IF(D12="p2",AQ12,"no")</f>
        <v>no</v>
      </c>
      <c r="AP12" s="213"/>
      <c r="AQ12" s="212">
        <f>WEEKDAY(C12)</f>
        <v>2</v>
      </c>
      <c r="AR12" s="214" t="str">
        <f t="shared" si="6"/>
        <v>M</v>
      </c>
      <c r="AS12" s="214" t="str">
        <f t="shared" si="10"/>
        <v>M</v>
      </c>
      <c r="AT12" s="214">
        <f t="shared" si="11"/>
        <v>0.70833333333333348</v>
      </c>
      <c r="AU12" s="214" t="str">
        <f t="shared" si="12"/>
        <v>M</v>
      </c>
      <c r="AV12" s="214" t="str">
        <f t="shared" si="13"/>
        <v>M</v>
      </c>
      <c r="AW12" s="214">
        <f t="shared" si="14"/>
        <v>0.70833333333333348</v>
      </c>
      <c r="AX12" s="214" t="str">
        <f t="shared" si="15"/>
        <v>M</v>
      </c>
      <c r="AY12" s="215"/>
      <c r="AZ12" s="214">
        <f t="shared" si="8"/>
        <v>0</v>
      </c>
      <c r="BA12" s="214">
        <f t="shared" si="16"/>
        <v>0</v>
      </c>
      <c r="BB12" s="214">
        <f t="shared" si="17"/>
        <v>0</v>
      </c>
      <c r="BC12" s="214">
        <f t="shared" si="18"/>
        <v>0</v>
      </c>
      <c r="BD12" s="214">
        <f t="shared" si="19"/>
        <v>0</v>
      </c>
      <c r="BE12" s="214">
        <f t="shared" si="20"/>
        <v>0</v>
      </c>
      <c r="BF12" s="214">
        <f t="shared" si="21"/>
        <v>0</v>
      </c>
      <c r="BI12" s="217" t="str">
        <f>IF(OR(E12="",F12="",G12=""),"M",1)</f>
        <v>M</v>
      </c>
      <c r="BJ12" s="217" t="str">
        <f>IF(OR(H12="",I12="",J12=""),"M",1)</f>
        <v>M</v>
      </c>
      <c r="BK12" s="217" t="str">
        <f>IF(OR(K12="",L12="",M12=""),"M",1)</f>
        <v>M</v>
      </c>
      <c r="BL12" s="217" t="str">
        <f>IF(OR(N12="",O12="",P12=""),"M",1)</f>
        <v>M</v>
      </c>
      <c r="BM12" s="217" t="str">
        <f>IF(OR(Q12="",R12="",S12=""),"M",1)</f>
        <v>M</v>
      </c>
      <c r="BN12" s="217">
        <f>IF(AND(BI12="M",BJ12="M",BK12="M",BL12="M",BM12="M",D12=""),0,1)</f>
        <v>1</v>
      </c>
      <c r="BO12" s="216"/>
      <c r="BP12" s="216"/>
      <c r="BQ12" s="218"/>
    </row>
    <row r="13" spans="1:236" ht="17.25" customHeight="1">
      <c r="A13" s="296">
        <v>-86</v>
      </c>
      <c r="B13" s="297">
        <f t="shared" si="0"/>
        <v>45839</v>
      </c>
      <c r="C13" s="298">
        <f t="shared" si="1"/>
        <v>45839</v>
      </c>
      <c r="D13" s="241" t="s">
        <v>62</v>
      </c>
      <c r="E13" s="46"/>
      <c r="F13" s="47"/>
      <c r="G13" s="48"/>
      <c r="H13" s="46"/>
      <c r="I13" s="47"/>
      <c r="J13" s="48"/>
      <c r="K13" s="46"/>
      <c r="L13" s="47"/>
      <c r="M13" s="48"/>
      <c r="N13" s="46"/>
      <c r="O13" s="47"/>
      <c r="P13" s="48"/>
      <c r="Q13" s="46"/>
      <c r="R13" s="47"/>
      <c r="S13" s="94"/>
      <c r="T13" s="92" t="str">
        <f>IF(BN13=0,"M",IF(D13="p1",AL13,IF(D13="p2",AM13,IF(D13="A",0,((E13*F13)*G13/0.6)+((H13*I13)*J13/0.6)+((K13*L13)*M13/0.6)+((N13*O13)*P13/0.6)+((Q13*R13)*S13/0.6)))))</f>
        <v>M</v>
      </c>
      <c r="U13" s="264" t="str">
        <f t="shared" si="5"/>
        <v>M</v>
      </c>
      <c r="V13" s="91"/>
      <c r="W13" s="127"/>
      <c r="X13" s="208">
        <f t="shared" si="2"/>
        <v>0</v>
      </c>
      <c r="Y13" s="209"/>
      <c r="Z13" s="209"/>
      <c r="AA13" s="209"/>
      <c r="AB13" s="209"/>
      <c r="AC13" s="255"/>
      <c r="AD13" s="256"/>
      <c r="AE13" s="267"/>
      <c r="AF13" s="267"/>
      <c r="AG13" s="267"/>
      <c r="AH13" s="268"/>
      <c r="AI13" s="269"/>
      <c r="AL13" s="212" t="str">
        <f t="shared" si="3"/>
        <v>M</v>
      </c>
      <c r="AM13" s="212" t="b">
        <f t="shared" si="4"/>
        <v>0</v>
      </c>
      <c r="AN13" s="212">
        <f>IF(D13="p1",AQ13,"no")</f>
        <v>3</v>
      </c>
      <c r="AO13" s="212" t="str">
        <f>IF(D13="p2",AQ13,"no")</f>
        <v>no</v>
      </c>
      <c r="AP13" s="213"/>
      <c r="AQ13" s="212">
        <f>WEEKDAY(C13)</f>
        <v>3</v>
      </c>
      <c r="AR13" s="214" t="str">
        <f t="shared" si="6"/>
        <v>M</v>
      </c>
      <c r="AS13" s="214" t="str">
        <f t="shared" si="10"/>
        <v>M</v>
      </c>
      <c r="AT13" s="214">
        <f t="shared" si="11"/>
        <v>0.70833333333333348</v>
      </c>
      <c r="AU13" s="214" t="str">
        <f t="shared" si="12"/>
        <v>M</v>
      </c>
      <c r="AV13" s="214" t="str">
        <f t="shared" si="13"/>
        <v>M</v>
      </c>
      <c r="AW13" s="214">
        <f t="shared" si="14"/>
        <v>0.70833333333333348</v>
      </c>
      <c r="AX13" s="214" t="str">
        <f t="shared" si="15"/>
        <v>M</v>
      </c>
      <c r="AY13" s="215"/>
      <c r="AZ13" s="214">
        <f t="shared" si="8"/>
        <v>0</v>
      </c>
      <c r="BA13" s="214">
        <f t="shared" si="16"/>
        <v>0</v>
      </c>
      <c r="BB13" s="214">
        <f t="shared" si="17"/>
        <v>0</v>
      </c>
      <c r="BC13" s="214">
        <f t="shared" si="18"/>
        <v>0</v>
      </c>
      <c r="BD13" s="214">
        <f t="shared" si="19"/>
        <v>0</v>
      </c>
      <c r="BE13" s="214">
        <f t="shared" si="20"/>
        <v>0</v>
      </c>
      <c r="BF13" s="214">
        <f t="shared" si="21"/>
        <v>0</v>
      </c>
      <c r="BI13" s="217" t="str">
        <f>IF(OR(E13="",F13="",G13=""),"M",1)</f>
        <v>M</v>
      </c>
      <c r="BJ13" s="217" t="str">
        <f>IF(OR(H13="",I13="",J13=""),"M",1)</f>
        <v>M</v>
      </c>
      <c r="BK13" s="217" t="str">
        <f>IF(OR(K13="",L13="",M13=""),"M",1)</f>
        <v>M</v>
      </c>
      <c r="BL13" s="217" t="str">
        <f>IF(OR(N13="",O13="",P13=""),"M",1)</f>
        <v>M</v>
      </c>
      <c r="BM13" s="217" t="str">
        <f>IF(OR(Q13="",R13="",S13=""),"M",1)</f>
        <v>M</v>
      </c>
      <c r="BN13" s="217">
        <f>IF(AND(BI13="M",BJ13="M",BK13="M",BL13="M",BM13="M",D13=""),0,1)</f>
        <v>1</v>
      </c>
      <c r="BO13" s="216"/>
      <c r="BP13" s="216"/>
      <c r="BQ13" s="218" t="str">
        <f>CONCATENATE("There ",BQ15," ",BQ16," ",BQ17," of missing drinking data in 90-day screening assessment period. ",BQ18)</f>
        <v>There are 84 days of missing drinking data in 90-day screening assessment period. Missing Baseline screening data must be collected prior to randomization.</v>
      </c>
    </row>
    <row r="14" spans="1:236" ht="17.25" customHeight="1">
      <c r="A14" s="296">
        <v>-85</v>
      </c>
      <c r="B14" s="297">
        <f t="shared" si="0"/>
        <v>45840</v>
      </c>
      <c r="C14" s="298">
        <f t="shared" si="1"/>
        <v>45840</v>
      </c>
      <c r="D14" s="242"/>
      <c r="E14" s="46"/>
      <c r="F14" s="47"/>
      <c r="G14" s="48"/>
      <c r="H14" s="46"/>
      <c r="I14" s="47"/>
      <c r="J14" s="48"/>
      <c r="K14" s="46"/>
      <c r="L14" s="47"/>
      <c r="M14" s="48"/>
      <c r="N14" s="46"/>
      <c r="O14" s="47"/>
      <c r="P14" s="48"/>
      <c r="Q14" s="46"/>
      <c r="R14" s="47"/>
      <c r="S14" s="94"/>
      <c r="T14" s="92" t="str">
        <f>IF(BN14=0,"M",IF(D14="p1",AL14,IF(D14="p2",AM14,IF(D14="A",0,((E14*F14)*G14/0.6)+((H14*I14)*J14/0.6)+((K14*L14)*M14/0.6)+((N14*O14)*P14/0.6)+((Q14*R14)*S14/0.6)))))</f>
        <v>M</v>
      </c>
      <c r="U14" s="264" t="str">
        <f t="shared" si="5"/>
        <v>M</v>
      </c>
      <c r="V14" s="91"/>
      <c r="W14" s="127"/>
      <c r="X14" s="208">
        <f t="shared" si="2"/>
        <v>0</v>
      </c>
      <c r="Y14" s="209"/>
      <c r="Z14" s="209"/>
      <c r="AA14" s="209"/>
      <c r="AB14" s="209"/>
      <c r="AC14" s="256"/>
      <c r="AD14" s="258"/>
      <c r="AE14" s="268"/>
      <c r="AF14" s="268"/>
      <c r="AG14" s="268"/>
      <c r="AH14" s="270"/>
      <c r="AI14" s="269"/>
      <c r="AL14" s="212" t="b">
        <f t="shared" si="3"/>
        <v>0</v>
      </c>
      <c r="AM14" s="212" t="b">
        <f t="shared" si="4"/>
        <v>0</v>
      </c>
      <c r="AN14" s="212" t="str">
        <f>IF(D14="p1",AQ14,"no")</f>
        <v>no</v>
      </c>
      <c r="AO14" s="212" t="str">
        <f>IF(D14="p2",AQ14,"no")</f>
        <v>no</v>
      </c>
      <c r="AP14" s="213"/>
      <c r="AQ14" s="212">
        <f>WEEKDAY(C14)</f>
        <v>4</v>
      </c>
      <c r="AR14" s="214" t="str">
        <f t="shared" si="6"/>
        <v>M</v>
      </c>
      <c r="AS14" s="214" t="str">
        <f t="shared" si="10"/>
        <v>M</v>
      </c>
      <c r="AT14" s="214">
        <f t="shared" si="11"/>
        <v>0.70833333333333348</v>
      </c>
      <c r="AU14" s="214" t="str">
        <f t="shared" si="12"/>
        <v>M</v>
      </c>
      <c r="AV14" s="214" t="str">
        <f t="shared" si="13"/>
        <v>M</v>
      </c>
      <c r="AW14" s="214">
        <f t="shared" si="14"/>
        <v>0.70833333333333348</v>
      </c>
      <c r="AX14" s="214" t="str">
        <f t="shared" si="15"/>
        <v>M</v>
      </c>
      <c r="AY14" s="215"/>
      <c r="AZ14" s="214">
        <f t="shared" si="8"/>
        <v>0</v>
      </c>
      <c r="BA14" s="214">
        <f t="shared" si="16"/>
        <v>0</v>
      </c>
      <c r="BB14" s="214">
        <f t="shared" si="17"/>
        <v>0</v>
      </c>
      <c r="BC14" s="214">
        <f t="shared" si="18"/>
        <v>0</v>
      </c>
      <c r="BD14" s="214">
        <f t="shared" si="19"/>
        <v>0</v>
      </c>
      <c r="BE14" s="214">
        <f t="shared" si="20"/>
        <v>0</v>
      </c>
      <c r="BF14" s="214">
        <f t="shared" si="21"/>
        <v>0</v>
      </c>
      <c r="BI14" s="217" t="str">
        <f>IF(OR(E14="",F14="",G14=""),"M",1)</f>
        <v>M</v>
      </c>
      <c r="BJ14" s="217" t="str">
        <f>IF(OR(H14="",I14="",J14=""),"M",1)</f>
        <v>M</v>
      </c>
      <c r="BK14" s="217" t="str">
        <f>IF(OR(K14="",L14="",M14=""),"M",1)</f>
        <v>M</v>
      </c>
      <c r="BL14" s="217" t="str">
        <f>IF(OR(N14="",O14="",P14=""),"M",1)</f>
        <v>M</v>
      </c>
      <c r="BM14" s="217" t="str">
        <f>IF(OR(Q14="",R14="",S14=""),"M",1)</f>
        <v>M</v>
      </c>
      <c r="BN14" s="217">
        <f>IF(AND(BI14="M",BJ14="M",BK14="M",BL14="M",BM14="M",D14=""),0,1)</f>
        <v>0</v>
      </c>
      <c r="BO14" s="216"/>
      <c r="BP14" s="216"/>
      <c r="BQ14" s="218"/>
    </row>
    <row r="15" spans="1:236" ht="17.25" customHeight="1">
      <c r="A15" s="296">
        <v>-84</v>
      </c>
      <c r="B15" s="297">
        <f t="shared" si="0"/>
        <v>45841</v>
      </c>
      <c r="C15" s="298">
        <f t="shared" si="1"/>
        <v>45841</v>
      </c>
      <c r="D15" s="241"/>
      <c r="E15" s="46"/>
      <c r="F15" s="47"/>
      <c r="G15" s="48"/>
      <c r="H15" s="46"/>
      <c r="I15" s="47"/>
      <c r="J15" s="48"/>
      <c r="K15" s="46"/>
      <c r="L15" s="47"/>
      <c r="M15" s="48"/>
      <c r="N15" s="46"/>
      <c r="O15" s="47"/>
      <c r="P15" s="48"/>
      <c r="Q15" s="46"/>
      <c r="R15" s="47"/>
      <c r="S15" s="94"/>
      <c r="T15" s="92" t="str">
        <f>IF(BN15=0,"M",IF(D15="p1",AL15,IF(D15="p2",AM15,IF(D15="A",0,((E15*F15)*G15/0.6)+((H15*I15)*J15/0.6)+((K15*L15)*M15/0.6)+((N15*O15)*P15/0.6)+((Q15*R15)*S15/0.6)))))</f>
        <v>M</v>
      </c>
      <c r="U15" s="264" t="str">
        <f t="shared" si="5"/>
        <v>M</v>
      </c>
      <c r="V15" s="91"/>
      <c r="W15" s="127"/>
      <c r="X15" s="208">
        <f t="shared" si="2"/>
        <v>0</v>
      </c>
      <c r="Y15" s="209"/>
      <c r="Z15" s="209"/>
      <c r="AA15" s="209"/>
      <c r="AB15" s="209"/>
      <c r="AC15" s="209"/>
      <c r="AD15" s="209"/>
      <c r="AE15" s="271"/>
      <c r="AF15" s="271"/>
      <c r="AG15" s="271"/>
      <c r="AH15" s="270"/>
      <c r="AI15" s="271"/>
      <c r="AL15" s="212" t="b">
        <f t="shared" si="3"/>
        <v>0</v>
      </c>
      <c r="AM15" s="212" t="b">
        <f t="shared" si="4"/>
        <v>0</v>
      </c>
      <c r="AN15" s="212" t="str">
        <f>IF(D15="p1",AQ15,"no")</f>
        <v>no</v>
      </c>
      <c r="AO15" s="212" t="str">
        <f>IF(D15="p2",AQ15,"no")</f>
        <v>no</v>
      </c>
      <c r="AP15" s="213"/>
      <c r="AQ15" s="212">
        <f>WEEKDAY(C15)</f>
        <v>5</v>
      </c>
      <c r="AR15" s="214" t="str">
        <f t="shared" si="6"/>
        <v>M</v>
      </c>
      <c r="AS15" s="214" t="str">
        <f t="shared" si="10"/>
        <v>M</v>
      </c>
      <c r="AT15" s="214">
        <f t="shared" si="11"/>
        <v>0.70833333333333348</v>
      </c>
      <c r="AU15" s="214" t="str">
        <f t="shared" si="12"/>
        <v>M</v>
      </c>
      <c r="AV15" s="214" t="str">
        <f t="shared" si="13"/>
        <v>M</v>
      </c>
      <c r="AW15" s="214">
        <f t="shared" si="14"/>
        <v>0.70833333333333348</v>
      </c>
      <c r="AX15" s="214" t="str">
        <f t="shared" si="15"/>
        <v>M</v>
      </c>
      <c r="AY15" s="215"/>
      <c r="AZ15" s="214">
        <f t="shared" si="8"/>
        <v>0</v>
      </c>
      <c r="BA15" s="214">
        <f t="shared" si="16"/>
        <v>0</v>
      </c>
      <c r="BB15" s="214">
        <f t="shared" si="17"/>
        <v>0</v>
      </c>
      <c r="BC15" s="214">
        <f t="shared" si="18"/>
        <v>0</v>
      </c>
      <c r="BD15" s="214">
        <f t="shared" si="19"/>
        <v>0</v>
      </c>
      <c r="BE15" s="214">
        <f t="shared" si="20"/>
        <v>0</v>
      </c>
      <c r="BF15" s="214">
        <f t="shared" si="21"/>
        <v>0</v>
      </c>
      <c r="BI15" s="217" t="str">
        <f>IF(OR(E15="",F15="",G15=""),"M",1)</f>
        <v>M</v>
      </c>
      <c r="BJ15" s="217" t="str">
        <f>IF(OR(H15="",I15="",J15=""),"M",1)</f>
        <v>M</v>
      </c>
      <c r="BK15" s="217" t="str">
        <f>IF(OR(K15="",L15="",M15=""),"M",1)</f>
        <v>M</v>
      </c>
      <c r="BL15" s="217" t="str">
        <f>IF(OR(N15="",O15="",P15=""),"M",1)</f>
        <v>M</v>
      </c>
      <c r="BM15" s="217" t="str">
        <f>IF(OR(Q15="",R15="",S15=""),"M",1)</f>
        <v>M</v>
      </c>
      <c r="BN15" s="217">
        <f>IF(AND(BI15="M",BJ15="M",BK15="M",BL15="M",BM15="M",D15=""),0,1)</f>
        <v>0</v>
      </c>
      <c r="BO15" s="216"/>
      <c r="BP15" s="216"/>
      <c r="BQ15" s="218" t="str">
        <f>IF(BQ16=1,"is","are")</f>
        <v>are</v>
      </c>
    </row>
    <row r="16" spans="1:236" ht="17.25" customHeight="1">
      <c r="A16" s="296">
        <v>-83</v>
      </c>
      <c r="B16" s="297">
        <f t="shared" si="0"/>
        <v>45842</v>
      </c>
      <c r="C16" s="298">
        <f t="shared" si="1"/>
        <v>45842</v>
      </c>
      <c r="D16" s="242"/>
      <c r="E16" s="46"/>
      <c r="F16" s="47"/>
      <c r="G16" s="48"/>
      <c r="H16" s="46"/>
      <c r="I16" s="47"/>
      <c r="J16" s="48"/>
      <c r="K16" s="46"/>
      <c r="L16" s="47"/>
      <c r="M16" s="48"/>
      <c r="N16" s="46"/>
      <c r="O16" s="47"/>
      <c r="P16" s="48"/>
      <c r="Q16" s="46"/>
      <c r="R16" s="47"/>
      <c r="S16" s="94"/>
      <c r="T16" s="92" t="str">
        <f>IF(BN16=0,"M",IF(D16="p1",AL16,IF(D16="p2",AM16,IF(D16="A",0,((E16*F16)*G16/0.6)+((H16*I16)*J16/0.6)+((K16*L16)*M16/0.6)+((N16*O16)*P16/0.6)+((Q16*R16)*S16/0.6)))))</f>
        <v>M</v>
      </c>
      <c r="U16" s="264" t="str">
        <f t="shared" si="5"/>
        <v>M</v>
      </c>
      <c r="V16" s="91"/>
      <c r="W16" s="127"/>
      <c r="X16" s="208">
        <f t="shared" si="2"/>
        <v>0</v>
      </c>
      <c r="Y16" s="209"/>
      <c r="Z16" s="209"/>
      <c r="AA16" s="209"/>
      <c r="AB16" s="209"/>
      <c r="AC16" s="256"/>
      <c r="AD16" s="255"/>
      <c r="AE16" s="272"/>
      <c r="AF16" s="272"/>
      <c r="AG16" s="272"/>
      <c r="AH16" s="270"/>
      <c r="AI16" s="273"/>
      <c r="AL16" s="212" t="b">
        <f t="shared" si="3"/>
        <v>0</v>
      </c>
      <c r="AM16" s="212" t="b">
        <f t="shared" si="4"/>
        <v>0</v>
      </c>
      <c r="AN16" s="212" t="str">
        <f>IF(D16="p1",AQ16,"no")</f>
        <v>no</v>
      </c>
      <c r="AO16" s="212" t="str">
        <f>IF(D16="p2",AQ16,"no")</f>
        <v>no</v>
      </c>
      <c r="AP16" s="213"/>
      <c r="AQ16" s="212">
        <f>WEEKDAY(C16)</f>
        <v>6</v>
      </c>
      <c r="AR16" s="214" t="str">
        <f t="shared" si="6"/>
        <v>M</v>
      </c>
      <c r="AS16" s="214" t="str">
        <f t="shared" si="10"/>
        <v>M</v>
      </c>
      <c r="AT16" s="214">
        <f t="shared" si="11"/>
        <v>0.70833333333333348</v>
      </c>
      <c r="AU16" s="214" t="str">
        <f t="shared" si="12"/>
        <v>M</v>
      </c>
      <c r="AV16" s="214" t="str">
        <f t="shared" si="13"/>
        <v>M</v>
      </c>
      <c r="AW16" s="214">
        <f t="shared" si="14"/>
        <v>0.70833333333333348</v>
      </c>
      <c r="AX16" s="214" t="str">
        <f t="shared" si="15"/>
        <v>M</v>
      </c>
      <c r="AY16" s="215"/>
      <c r="AZ16" s="214">
        <f t="shared" si="8"/>
        <v>0</v>
      </c>
      <c r="BA16" s="214">
        <f t="shared" si="16"/>
        <v>0</v>
      </c>
      <c r="BB16" s="214">
        <f t="shared" si="17"/>
        <v>0</v>
      </c>
      <c r="BC16" s="214">
        <f t="shared" si="18"/>
        <v>0</v>
      </c>
      <c r="BD16" s="214">
        <f t="shared" si="19"/>
        <v>0</v>
      </c>
      <c r="BE16" s="214">
        <f t="shared" si="20"/>
        <v>0</v>
      </c>
      <c r="BF16" s="214">
        <f t="shared" si="21"/>
        <v>0</v>
      </c>
      <c r="BI16" s="217" t="str">
        <f>IF(OR(E16="",F16="",G16=""),"M",1)</f>
        <v>M</v>
      </c>
      <c r="BJ16" s="217" t="str">
        <f>IF(OR(H16="",I16="",J16=""),"M",1)</f>
        <v>M</v>
      </c>
      <c r="BK16" s="217" t="str">
        <f>IF(OR(K16="",L16="",M16=""),"M",1)</f>
        <v>M</v>
      </c>
      <c r="BL16" s="217" t="str">
        <f>IF(OR(N16="",O16="",P16=""),"M",1)</f>
        <v>M</v>
      </c>
      <c r="BM16" s="217" t="str">
        <f>IF(OR(Q16="",R16="",S16=""),"M",1)</f>
        <v>M</v>
      </c>
      <c r="BN16" s="217">
        <f>IF(AND(BI16="M",BJ16="M",BK16="M",BL16="M",BM16="M",D16=""),0,1)</f>
        <v>0</v>
      </c>
      <c r="BO16" s="216"/>
      <c r="BP16" s="216"/>
      <c r="BQ16" s="222">
        <f>BO10-BO9</f>
        <v>84</v>
      </c>
    </row>
    <row r="17" spans="1:69" ht="17.25" customHeight="1">
      <c r="A17" s="296">
        <v>-82</v>
      </c>
      <c r="B17" s="297">
        <f t="shared" si="0"/>
        <v>45843</v>
      </c>
      <c r="C17" s="298">
        <f t="shared" si="1"/>
        <v>45843</v>
      </c>
      <c r="D17" s="241"/>
      <c r="E17" s="46"/>
      <c r="F17" s="47"/>
      <c r="G17" s="48"/>
      <c r="H17" s="46"/>
      <c r="I17" s="47"/>
      <c r="J17" s="48"/>
      <c r="K17" s="46"/>
      <c r="L17" s="47"/>
      <c r="M17" s="48"/>
      <c r="N17" s="46"/>
      <c r="O17" s="47"/>
      <c r="P17" s="48"/>
      <c r="Q17" s="46"/>
      <c r="R17" s="47"/>
      <c r="S17" s="94"/>
      <c r="T17" s="92" t="str">
        <f>IF(BN17=0,"M",IF(D17="p1",AL17,IF(D17="p2",AM17,IF(D17="A",0,((E17*F17)*G17/0.6)+((H17*I17)*J17/0.6)+((K17*L17)*M17/0.6)+((N17*O17)*P17/0.6)+((Q17*R17)*S17/0.6)))))</f>
        <v>M</v>
      </c>
      <c r="U17" s="264" t="str">
        <f t="shared" si="5"/>
        <v>M</v>
      </c>
      <c r="V17" s="91"/>
      <c r="W17" s="127"/>
      <c r="X17" s="208">
        <f t="shared" si="2"/>
        <v>0</v>
      </c>
      <c r="Y17" s="209"/>
      <c r="Z17" s="209"/>
      <c r="AA17" s="209"/>
      <c r="AB17" s="209"/>
      <c r="AC17" s="250"/>
      <c r="AD17" s="259"/>
      <c r="AE17" s="267"/>
      <c r="AF17" s="267"/>
      <c r="AG17" s="267"/>
      <c r="AH17" s="274"/>
      <c r="AI17" s="269"/>
      <c r="AL17" s="212" t="b">
        <f t="shared" si="3"/>
        <v>0</v>
      </c>
      <c r="AM17" s="212" t="b">
        <f t="shared" si="4"/>
        <v>0</v>
      </c>
      <c r="AN17" s="212" t="str">
        <f>IF(D17="p1",AQ17,"no")</f>
        <v>no</v>
      </c>
      <c r="AO17" s="212" t="str">
        <f>IF(D17="p2",AQ17,"no")</f>
        <v>no</v>
      </c>
      <c r="AP17" s="213"/>
      <c r="AQ17" s="212">
        <f>WEEKDAY(C17)</f>
        <v>7</v>
      </c>
      <c r="AR17" s="214" t="str">
        <f t="shared" si="6"/>
        <v>M</v>
      </c>
      <c r="AS17" s="214" t="str">
        <f t="shared" si="10"/>
        <v>M</v>
      </c>
      <c r="AT17" s="214">
        <f t="shared" si="11"/>
        <v>0.70833333333333348</v>
      </c>
      <c r="AU17" s="214" t="str">
        <f t="shared" si="12"/>
        <v>M</v>
      </c>
      <c r="AV17" s="214" t="str">
        <f t="shared" si="13"/>
        <v>M</v>
      </c>
      <c r="AW17" s="214">
        <f t="shared" si="14"/>
        <v>0.70833333333333348</v>
      </c>
      <c r="AX17" s="214" t="str">
        <f t="shared" si="15"/>
        <v>M</v>
      </c>
      <c r="AY17" s="215"/>
      <c r="AZ17" s="214">
        <f t="shared" si="8"/>
        <v>0</v>
      </c>
      <c r="BA17" s="214">
        <f t="shared" si="16"/>
        <v>0</v>
      </c>
      <c r="BB17" s="214">
        <f t="shared" si="17"/>
        <v>0</v>
      </c>
      <c r="BC17" s="214">
        <f t="shared" si="18"/>
        <v>0</v>
      </c>
      <c r="BD17" s="214">
        <f t="shared" si="19"/>
        <v>0</v>
      </c>
      <c r="BE17" s="214">
        <f t="shared" si="20"/>
        <v>0</v>
      </c>
      <c r="BF17" s="214">
        <f t="shared" si="21"/>
        <v>0</v>
      </c>
      <c r="BI17" s="217" t="str">
        <f>IF(OR(E17="",F17="",G17=""),"M",1)</f>
        <v>M</v>
      </c>
      <c r="BJ17" s="217" t="str">
        <f>IF(OR(H17="",I17="",J17=""),"M",1)</f>
        <v>M</v>
      </c>
      <c r="BK17" s="217" t="str">
        <f>IF(OR(K17="",L17="",M17=""),"M",1)</f>
        <v>M</v>
      </c>
      <c r="BL17" s="217" t="str">
        <f>IF(OR(N17="",O17="",P17=""),"M",1)</f>
        <v>M</v>
      </c>
      <c r="BM17" s="217" t="str">
        <f>IF(OR(Q17="",R17="",S17=""),"M",1)</f>
        <v>M</v>
      </c>
      <c r="BN17" s="217">
        <f>IF(AND(BI17="M",BJ17="M",BK17="M",BL17="M",BM17="M",D17=""),0,1)</f>
        <v>0</v>
      </c>
      <c r="BO17" s="216"/>
      <c r="BP17" s="216"/>
      <c r="BQ17" s="218" t="str">
        <f>IF(BQ16=1,"day","days")</f>
        <v>days</v>
      </c>
    </row>
    <row r="18" spans="1:69" ht="17.25" customHeight="1">
      <c r="A18" s="296">
        <v>-81</v>
      </c>
      <c r="B18" s="297">
        <f t="shared" si="0"/>
        <v>45844</v>
      </c>
      <c r="C18" s="298">
        <f t="shared" si="1"/>
        <v>45844</v>
      </c>
      <c r="D18" s="242"/>
      <c r="E18" s="46"/>
      <c r="F18" s="47"/>
      <c r="G18" s="48"/>
      <c r="H18" s="46"/>
      <c r="I18" s="47"/>
      <c r="J18" s="48"/>
      <c r="K18" s="46"/>
      <c r="L18" s="47"/>
      <c r="M18" s="48"/>
      <c r="N18" s="46"/>
      <c r="O18" s="47"/>
      <c r="P18" s="48"/>
      <c r="Q18" s="46"/>
      <c r="R18" s="47"/>
      <c r="S18" s="94"/>
      <c r="T18" s="92" t="str">
        <f>IF(BN18=0,"M",IF(D18="p1",AL18,IF(D18="p2",AM18,IF(D18="A",0,((E18*F18)*G18/0.6)+((H18*I18)*J18/0.6)+((K18*L18)*M18/0.6)+((N18*O18)*P18/0.6)+((Q18*R18)*S18/0.6)))))</f>
        <v>M</v>
      </c>
      <c r="U18" s="264" t="str">
        <f t="shared" si="5"/>
        <v>M</v>
      </c>
      <c r="V18" s="91"/>
      <c r="W18" s="127"/>
      <c r="X18" s="208">
        <f t="shared" si="2"/>
        <v>0</v>
      </c>
      <c r="Y18" s="209"/>
      <c r="Z18" s="209"/>
      <c r="AA18" s="209"/>
      <c r="AB18" s="209"/>
      <c r="AC18" s="250"/>
      <c r="AD18" s="259"/>
      <c r="AE18" s="267"/>
      <c r="AF18" s="267"/>
      <c r="AG18" s="267"/>
      <c r="AH18" s="267"/>
      <c r="AI18" s="269"/>
      <c r="AL18" s="212" t="b">
        <f t="shared" si="3"/>
        <v>0</v>
      </c>
      <c r="AM18" s="212" t="b">
        <f t="shared" si="4"/>
        <v>0</v>
      </c>
      <c r="AN18" s="212" t="str">
        <f>IF(D18="p1",AQ18,"no")</f>
        <v>no</v>
      </c>
      <c r="AO18" s="212" t="str">
        <f>IF(D18="p2",AQ18,"no")</f>
        <v>no</v>
      </c>
      <c r="AP18" s="213"/>
      <c r="AQ18" s="212">
        <f>WEEKDAY(C18)</f>
        <v>1</v>
      </c>
      <c r="AR18" s="214" t="str">
        <f t="shared" si="6"/>
        <v>M</v>
      </c>
      <c r="AS18" s="214" t="str">
        <f t="shared" si="10"/>
        <v>M</v>
      </c>
      <c r="AT18" s="214">
        <f t="shared" si="11"/>
        <v>0.70833333333333348</v>
      </c>
      <c r="AU18" s="214" t="str">
        <f t="shared" si="12"/>
        <v>M</v>
      </c>
      <c r="AV18" s="214" t="str">
        <f t="shared" si="13"/>
        <v>M</v>
      </c>
      <c r="AW18" s="214">
        <f t="shared" si="14"/>
        <v>0.70833333333333348</v>
      </c>
      <c r="AX18" s="214" t="str">
        <f t="shared" si="15"/>
        <v>M</v>
      </c>
      <c r="AY18" s="215"/>
      <c r="AZ18" s="214">
        <f t="shared" si="8"/>
        <v>0</v>
      </c>
      <c r="BA18" s="214">
        <f t="shared" si="16"/>
        <v>0</v>
      </c>
      <c r="BB18" s="214">
        <f t="shared" si="17"/>
        <v>0</v>
      </c>
      <c r="BC18" s="214">
        <f t="shared" si="18"/>
        <v>0</v>
      </c>
      <c r="BD18" s="214">
        <f t="shared" si="19"/>
        <v>0</v>
      </c>
      <c r="BE18" s="214">
        <f t="shared" si="20"/>
        <v>0</v>
      </c>
      <c r="BF18" s="214">
        <f t="shared" si="21"/>
        <v>0</v>
      </c>
      <c r="BI18" s="217" t="str">
        <f>IF(OR(E18="",F18="",G18=""),"M",1)</f>
        <v>M</v>
      </c>
      <c r="BJ18" s="217" t="str">
        <f>IF(OR(H18="",I18="",J18=""),"M",1)</f>
        <v>M</v>
      </c>
      <c r="BK18" s="217" t="str">
        <f>IF(OR(K18="",L18="",M18=""),"M",1)</f>
        <v>M</v>
      </c>
      <c r="BL18" s="217" t="str">
        <f>IF(OR(N18="",O18="",P18=""),"M",1)</f>
        <v>M</v>
      </c>
      <c r="BM18" s="217" t="str">
        <f>IF(OR(Q18="",R18="",S18=""),"M",1)</f>
        <v>M</v>
      </c>
      <c r="BN18" s="217">
        <f>IF(AND(BI18="M",BJ18="M",BK18="M",BL18="M",BM18="M",D18=""),0,1)</f>
        <v>0</v>
      </c>
      <c r="BO18" s="216"/>
      <c r="BP18" s="216"/>
      <c r="BQ18" s="280" t="s">
        <v>63</v>
      </c>
    </row>
    <row r="19" spans="1:69" ht="17.25" customHeight="1">
      <c r="A19" s="296">
        <v>-80</v>
      </c>
      <c r="B19" s="297">
        <f t="shared" si="0"/>
        <v>45845</v>
      </c>
      <c r="C19" s="298">
        <f t="shared" si="1"/>
        <v>45845</v>
      </c>
      <c r="D19" s="241"/>
      <c r="E19" s="46"/>
      <c r="F19" s="47"/>
      <c r="G19" s="48"/>
      <c r="H19" s="46"/>
      <c r="I19" s="47"/>
      <c r="J19" s="48"/>
      <c r="K19" s="46"/>
      <c r="L19" s="47"/>
      <c r="M19" s="48"/>
      <c r="N19" s="46"/>
      <c r="O19" s="47"/>
      <c r="P19" s="48"/>
      <c r="Q19" s="46"/>
      <c r="R19" s="47"/>
      <c r="S19" s="94"/>
      <c r="T19" s="92" t="str">
        <f>IF(BN19=0,"M",IF(D19="p1",AL19,IF(D19="p2",AM19,IF(D19="A",0,((E19*F19)*G19/0.6)+((H19*I19)*J19/0.6)+((K19*L19)*M19/0.6)+((N19*O19)*P19/0.6)+((Q19*R19)*S19/0.6)))))</f>
        <v>M</v>
      </c>
      <c r="U19" s="264" t="str">
        <f t="shared" si="5"/>
        <v>M</v>
      </c>
      <c r="V19" s="91"/>
      <c r="W19" s="127"/>
      <c r="X19" s="208">
        <f t="shared" si="2"/>
        <v>0</v>
      </c>
      <c r="Y19" s="209"/>
      <c r="Z19" s="209"/>
      <c r="AA19" s="209"/>
      <c r="AB19" s="209"/>
      <c r="AC19" s="256"/>
      <c r="AD19" s="260"/>
      <c r="AE19" s="268"/>
      <c r="AF19" s="268"/>
      <c r="AG19" s="268"/>
      <c r="AH19" s="268"/>
      <c r="AI19" s="269"/>
      <c r="AL19" s="212" t="b">
        <f t="shared" si="3"/>
        <v>0</v>
      </c>
      <c r="AM19" s="212" t="b">
        <f t="shared" si="4"/>
        <v>0</v>
      </c>
      <c r="AN19" s="212" t="str">
        <f>IF(D19="p1",AQ19,"no")</f>
        <v>no</v>
      </c>
      <c r="AO19" s="212" t="str">
        <f>IF(D19="p2",AQ19,"no")</f>
        <v>no</v>
      </c>
      <c r="AP19" s="213"/>
      <c r="AQ19" s="212">
        <f>WEEKDAY(C19)</f>
        <v>2</v>
      </c>
      <c r="AR19" s="214" t="str">
        <f t="shared" si="6"/>
        <v>M</v>
      </c>
      <c r="AS19" s="214" t="str">
        <f t="shared" si="10"/>
        <v>M</v>
      </c>
      <c r="AT19" s="214">
        <f t="shared" si="11"/>
        <v>0.70833333333333348</v>
      </c>
      <c r="AU19" s="214" t="str">
        <f t="shared" si="12"/>
        <v>M</v>
      </c>
      <c r="AV19" s="214" t="str">
        <f t="shared" si="13"/>
        <v>M</v>
      </c>
      <c r="AW19" s="214">
        <f t="shared" si="14"/>
        <v>0.70833333333333348</v>
      </c>
      <c r="AX19" s="214" t="str">
        <f t="shared" si="15"/>
        <v>M</v>
      </c>
      <c r="AY19" s="215"/>
      <c r="AZ19" s="214">
        <f t="shared" si="8"/>
        <v>0</v>
      </c>
      <c r="BA19" s="214">
        <f t="shared" si="16"/>
        <v>0</v>
      </c>
      <c r="BB19" s="214">
        <f t="shared" si="17"/>
        <v>0</v>
      </c>
      <c r="BC19" s="214">
        <f t="shared" si="18"/>
        <v>0</v>
      </c>
      <c r="BD19" s="214">
        <f t="shared" si="19"/>
        <v>0</v>
      </c>
      <c r="BE19" s="214">
        <f t="shared" si="20"/>
        <v>0</v>
      </c>
      <c r="BF19" s="214">
        <f t="shared" si="21"/>
        <v>0</v>
      </c>
      <c r="BI19" s="217" t="str">
        <f>IF(OR(E19="",F19="",G19=""),"M",1)</f>
        <v>M</v>
      </c>
      <c r="BJ19" s="217" t="str">
        <f>IF(OR(H19="",I19="",J19=""),"M",1)</f>
        <v>M</v>
      </c>
      <c r="BK19" s="217" t="str">
        <f>IF(OR(K19="",L19="",M19=""),"M",1)</f>
        <v>M</v>
      </c>
      <c r="BL19" s="217" t="str">
        <f>IF(OR(N19="",O19="",P19=""),"M",1)</f>
        <v>M</v>
      </c>
      <c r="BM19" s="217" t="str">
        <f>IF(OR(Q19="",R19="",S19=""),"M",1)</f>
        <v>M</v>
      </c>
      <c r="BN19" s="217">
        <f>IF(AND(BI19="M",BJ19="M",BK19="M",BL19="M",BM19="M",D19=""),0,1)</f>
        <v>0</v>
      </c>
      <c r="BO19" s="216"/>
      <c r="BP19" s="216"/>
      <c r="BQ19" s="280" t="s">
        <v>64</v>
      </c>
    </row>
    <row r="20" spans="1:69" ht="17.25" customHeight="1">
      <c r="A20" s="296">
        <v>-79</v>
      </c>
      <c r="B20" s="297">
        <f t="shared" si="0"/>
        <v>45846</v>
      </c>
      <c r="C20" s="298">
        <f t="shared" si="1"/>
        <v>45846</v>
      </c>
      <c r="D20" s="242" t="s">
        <v>62</v>
      </c>
      <c r="E20" s="46"/>
      <c r="F20" s="47"/>
      <c r="G20" s="48"/>
      <c r="H20" s="46"/>
      <c r="I20" s="47"/>
      <c r="J20" s="48"/>
      <c r="K20" s="46"/>
      <c r="L20" s="47"/>
      <c r="M20" s="48"/>
      <c r="N20" s="46"/>
      <c r="O20" s="47"/>
      <c r="P20" s="48"/>
      <c r="Q20" s="46"/>
      <c r="R20" s="47"/>
      <c r="S20" s="94"/>
      <c r="T20" s="92" t="str">
        <f>IF(BN20=0,"M",IF(D20="p1",AL20,IF(D20="p2",AM20,IF(D20="A",0,((E20*F20)*G20/0.6)+((H20*I20)*J20/0.6)+((K20*L20)*M20/0.6)+((N20*O20)*P20/0.6)+((Q20*R20)*S20/0.6)))))</f>
        <v>M</v>
      </c>
      <c r="U20" s="264" t="str">
        <f t="shared" si="5"/>
        <v>M</v>
      </c>
      <c r="V20" s="91"/>
      <c r="W20" s="127"/>
      <c r="X20" s="208">
        <f t="shared" si="2"/>
        <v>0</v>
      </c>
      <c r="Y20" s="209"/>
      <c r="Z20" s="209"/>
      <c r="AA20" s="209"/>
      <c r="AB20" s="209"/>
      <c r="AC20" s="257"/>
      <c r="AD20" s="209"/>
      <c r="AE20" s="271"/>
      <c r="AF20" s="271"/>
      <c r="AG20" s="271"/>
      <c r="AH20" s="271"/>
      <c r="AI20" s="271"/>
      <c r="AL20" s="212" t="str">
        <f t="shared" si="3"/>
        <v>M</v>
      </c>
      <c r="AM20" s="212" t="b">
        <f t="shared" si="4"/>
        <v>0</v>
      </c>
      <c r="AN20" s="212">
        <f>IF(D20="p1",AQ20,"no")</f>
        <v>3</v>
      </c>
      <c r="AO20" s="212" t="str">
        <f>IF(D20="p2",AQ20,"no")</f>
        <v>no</v>
      </c>
      <c r="AP20" s="213"/>
      <c r="AQ20" s="212">
        <f>WEEKDAY(C20)</f>
        <v>3</v>
      </c>
      <c r="AR20" s="214" t="str">
        <f t="shared" si="6"/>
        <v>M</v>
      </c>
      <c r="AS20" s="214" t="str">
        <f t="shared" si="10"/>
        <v>M</v>
      </c>
      <c r="AT20" s="214">
        <f t="shared" si="11"/>
        <v>0.70833333333333348</v>
      </c>
      <c r="AU20" s="214" t="str">
        <f t="shared" si="12"/>
        <v>M</v>
      </c>
      <c r="AV20" s="214" t="str">
        <f t="shared" si="13"/>
        <v>M</v>
      </c>
      <c r="AW20" s="214">
        <f t="shared" si="14"/>
        <v>0.70833333333333348</v>
      </c>
      <c r="AX20" s="214" t="str">
        <f t="shared" si="15"/>
        <v>M</v>
      </c>
      <c r="AY20" s="215"/>
      <c r="AZ20" s="214">
        <f t="shared" si="8"/>
        <v>0</v>
      </c>
      <c r="BA20" s="214">
        <f t="shared" si="16"/>
        <v>0</v>
      </c>
      <c r="BB20" s="214">
        <f t="shared" si="17"/>
        <v>0</v>
      </c>
      <c r="BC20" s="214">
        <f t="shared" si="18"/>
        <v>0</v>
      </c>
      <c r="BD20" s="214">
        <f t="shared" si="19"/>
        <v>0</v>
      </c>
      <c r="BE20" s="214">
        <f t="shared" si="20"/>
        <v>0</v>
      </c>
      <c r="BF20" s="214">
        <f t="shared" si="21"/>
        <v>0</v>
      </c>
      <c r="BI20" s="217" t="str">
        <f>IF(OR(E20="",F20="",G20=""),"M",1)</f>
        <v>M</v>
      </c>
      <c r="BJ20" s="217" t="str">
        <f>IF(OR(H20="",I20="",J20=""),"M",1)</f>
        <v>M</v>
      </c>
      <c r="BK20" s="217" t="str">
        <f>IF(OR(K20="",L20="",M20=""),"M",1)</f>
        <v>M</v>
      </c>
      <c r="BL20" s="217" t="str">
        <f>IF(OR(N20="",O20="",P20=""),"M",1)</f>
        <v>M</v>
      </c>
      <c r="BM20" s="217" t="str">
        <f>IF(OR(Q20="",R20="",S20=""),"M",1)</f>
        <v>M</v>
      </c>
      <c r="BN20" s="217">
        <f>IF(AND(BI20="M",BJ20="M",BK20="M",BL20="M",BM20="M",D20=""),0,1)</f>
        <v>1</v>
      </c>
      <c r="BO20" s="216"/>
      <c r="BP20" s="216"/>
      <c r="BQ20" s="218"/>
    </row>
    <row r="21" spans="1:69" ht="17.25" customHeight="1">
      <c r="A21" s="296">
        <v>-78</v>
      </c>
      <c r="B21" s="297">
        <f t="shared" si="0"/>
        <v>45847</v>
      </c>
      <c r="C21" s="298">
        <f t="shared" si="1"/>
        <v>45847</v>
      </c>
      <c r="D21" s="241"/>
      <c r="E21" s="46"/>
      <c r="F21" s="47"/>
      <c r="G21" s="48"/>
      <c r="H21" s="46"/>
      <c r="I21" s="47"/>
      <c r="J21" s="48"/>
      <c r="K21" s="46"/>
      <c r="L21" s="47"/>
      <c r="M21" s="48"/>
      <c r="N21" s="46"/>
      <c r="O21" s="47"/>
      <c r="P21" s="48"/>
      <c r="Q21" s="46"/>
      <c r="R21" s="47"/>
      <c r="S21" s="94"/>
      <c r="T21" s="92" t="str">
        <f>IF(BN21=0,"M",IF(D21="p1",AL21,IF(D21="p2",AM21,IF(D21="A",0,((E21*F21)*G21/0.6)+((H21*I21)*J21/0.6)+((K21*L21)*M21/0.6)+((N21*O21)*P21/0.6)+((Q21*R21)*S21/0.6)))))</f>
        <v>M</v>
      </c>
      <c r="U21" s="264" t="str">
        <f t="shared" si="5"/>
        <v>M</v>
      </c>
      <c r="V21" s="91"/>
      <c r="W21" s="127"/>
      <c r="X21" s="208">
        <f t="shared" si="2"/>
        <v>0</v>
      </c>
      <c r="Y21" s="209"/>
      <c r="Z21" s="209"/>
      <c r="AA21" s="209"/>
      <c r="AB21" s="209"/>
      <c r="AC21" s="209"/>
      <c r="AD21" s="209"/>
      <c r="AE21" s="271"/>
      <c r="AF21" s="270"/>
      <c r="AG21" s="270"/>
      <c r="AH21" s="271"/>
      <c r="AI21" s="271"/>
      <c r="AL21" s="212" t="b">
        <f t="shared" si="3"/>
        <v>0</v>
      </c>
      <c r="AM21" s="212" t="b">
        <f t="shared" si="4"/>
        <v>0</v>
      </c>
      <c r="AN21" s="212" t="str">
        <f>IF(D21="p1",AQ21,"no")</f>
        <v>no</v>
      </c>
      <c r="AO21" s="212" t="str">
        <f>IF(D21="p2",AQ21,"no")</f>
        <v>no</v>
      </c>
      <c r="AP21" s="213"/>
      <c r="AQ21" s="212">
        <f>WEEKDAY(C21)</f>
        <v>4</v>
      </c>
      <c r="AR21" s="214" t="str">
        <f t="shared" si="6"/>
        <v>M</v>
      </c>
      <c r="AS21" s="214" t="str">
        <f t="shared" si="10"/>
        <v>M</v>
      </c>
      <c r="AT21" s="214">
        <f t="shared" si="11"/>
        <v>0.70833333333333348</v>
      </c>
      <c r="AU21" s="214" t="str">
        <f t="shared" si="12"/>
        <v>M</v>
      </c>
      <c r="AV21" s="214" t="str">
        <f t="shared" si="13"/>
        <v>M</v>
      </c>
      <c r="AW21" s="214">
        <f t="shared" si="14"/>
        <v>0.70833333333333348</v>
      </c>
      <c r="AX21" s="214" t="str">
        <f t="shared" si="15"/>
        <v>M</v>
      </c>
      <c r="AY21" s="215"/>
      <c r="AZ21" s="214">
        <f t="shared" si="8"/>
        <v>0</v>
      </c>
      <c r="BA21" s="214">
        <f t="shared" si="16"/>
        <v>0</v>
      </c>
      <c r="BB21" s="214">
        <f t="shared" si="17"/>
        <v>0</v>
      </c>
      <c r="BC21" s="214">
        <f t="shared" si="18"/>
        <v>0</v>
      </c>
      <c r="BD21" s="214">
        <f t="shared" si="19"/>
        <v>0</v>
      </c>
      <c r="BE21" s="214">
        <f t="shared" si="20"/>
        <v>0</v>
      </c>
      <c r="BF21" s="214">
        <f t="shared" si="21"/>
        <v>0</v>
      </c>
      <c r="BI21" s="217" t="str">
        <f>IF(OR(E21="",F21="",G21=""),"M",1)</f>
        <v>M</v>
      </c>
      <c r="BJ21" s="217" t="str">
        <f>IF(OR(H21="",I21="",J21=""),"M",1)</f>
        <v>M</v>
      </c>
      <c r="BK21" s="217" t="str">
        <f>IF(OR(K21="",L21="",M21=""),"M",1)</f>
        <v>M</v>
      </c>
      <c r="BL21" s="217" t="str">
        <f>IF(OR(N21="",O21="",P21=""),"M",1)</f>
        <v>M</v>
      </c>
      <c r="BM21" s="217" t="str">
        <f>IF(OR(Q21="",R21="",S21=""),"M",1)</f>
        <v>M</v>
      </c>
      <c r="BN21" s="217">
        <f>IF(AND(BI21="M",BJ21="M",BK21="M",BL21="M",BM21="M",D21=""),0,1)</f>
        <v>0</v>
      </c>
      <c r="BO21" s="216"/>
      <c r="BP21" s="216"/>
      <c r="BQ21" s="218"/>
    </row>
    <row r="22" spans="1:69" ht="17.25" customHeight="1">
      <c r="A22" s="296">
        <v>-77</v>
      </c>
      <c r="B22" s="297">
        <f t="shared" si="0"/>
        <v>45848</v>
      </c>
      <c r="C22" s="298">
        <f t="shared" si="1"/>
        <v>45848</v>
      </c>
      <c r="D22" s="242"/>
      <c r="E22" s="46"/>
      <c r="F22" s="47"/>
      <c r="G22" s="48"/>
      <c r="H22" s="46"/>
      <c r="I22" s="47"/>
      <c r="J22" s="48"/>
      <c r="K22" s="46"/>
      <c r="L22" s="47"/>
      <c r="M22" s="48"/>
      <c r="N22" s="46"/>
      <c r="O22" s="47"/>
      <c r="P22" s="48"/>
      <c r="Q22" s="46"/>
      <c r="R22" s="47"/>
      <c r="S22" s="94"/>
      <c r="T22" s="92" t="str">
        <f>IF(BN22=0,"M",IF(D22="p1",AL22,IF(D22="p2",AM22,IF(D22="A",0,((E22*F22)*G22/0.6)+((H22*I22)*J22/0.6)+((K22*L22)*M22/0.6)+((N22*O22)*P22/0.6)+((Q22*R22)*S22/0.6)))))</f>
        <v>M</v>
      </c>
      <c r="U22" s="264" t="str">
        <f t="shared" si="5"/>
        <v>M</v>
      </c>
      <c r="V22" s="91"/>
      <c r="W22" s="127"/>
      <c r="X22" s="208">
        <f t="shared" si="2"/>
        <v>0</v>
      </c>
      <c r="Y22" s="209"/>
      <c r="Z22" s="209"/>
      <c r="AA22" s="209"/>
      <c r="AB22" s="209"/>
      <c r="AC22" s="250"/>
      <c r="AD22" s="250"/>
      <c r="AE22" s="275"/>
      <c r="AF22" s="267"/>
      <c r="AG22" s="275"/>
      <c r="AH22" s="267"/>
      <c r="AI22" s="267"/>
      <c r="AL22" s="212" t="b">
        <f t="shared" si="3"/>
        <v>0</v>
      </c>
      <c r="AM22" s="212" t="b">
        <f t="shared" si="4"/>
        <v>0</v>
      </c>
      <c r="AN22" s="212" t="str">
        <f>IF(D22="p1",AQ22,"no")</f>
        <v>no</v>
      </c>
      <c r="AO22" s="212" t="str">
        <f>IF(D22="p2",AQ22,"no")</f>
        <v>no</v>
      </c>
      <c r="AP22" s="213"/>
      <c r="AQ22" s="212">
        <f>WEEKDAY(C22)</f>
        <v>5</v>
      </c>
      <c r="AR22" s="214" t="str">
        <f t="shared" si="6"/>
        <v>M</v>
      </c>
      <c r="AS22" s="214" t="str">
        <f t="shared" si="10"/>
        <v>M</v>
      </c>
      <c r="AT22" s="214">
        <f t="shared" si="11"/>
        <v>0.70833333333333348</v>
      </c>
      <c r="AU22" s="214" t="str">
        <f t="shared" si="12"/>
        <v>M</v>
      </c>
      <c r="AV22" s="214" t="str">
        <f t="shared" si="13"/>
        <v>M</v>
      </c>
      <c r="AW22" s="214">
        <f t="shared" si="14"/>
        <v>0.70833333333333348</v>
      </c>
      <c r="AX22" s="214" t="str">
        <f t="shared" si="15"/>
        <v>M</v>
      </c>
      <c r="AY22" s="215"/>
      <c r="AZ22" s="214">
        <f t="shared" si="8"/>
        <v>0</v>
      </c>
      <c r="BA22" s="214">
        <f t="shared" si="16"/>
        <v>0</v>
      </c>
      <c r="BB22" s="214">
        <f t="shared" si="17"/>
        <v>0</v>
      </c>
      <c r="BC22" s="214">
        <f t="shared" si="18"/>
        <v>0</v>
      </c>
      <c r="BD22" s="214">
        <f t="shared" si="19"/>
        <v>0</v>
      </c>
      <c r="BE22" s="214">
        <f t="shared" si="20"/>
        <v>0</v>
      </c>
      <c r="BF22" s="214">
        <f t="shared" si="21"/>
        <v>0</v>
      </c>
      <c r="BI22" s="217" t="str">
        <f>IF(OR(E22="",F22="",G22=""),"M",1)</f>
        <v>M</v>
      </c>
      <c r="BJ22" s="217" t="str">
        <f>IF(OR(H22="",I22="",J22=""),"M",1)</f>
        <v>M</v>
      </c>
      <c r="BK22" s="217" t="str">
        <f>IF(OR(K22="",L22="",M22=""),"M",1)</f>
        <v>M</v>
      </c>
      <c r="BL22" s="217" t="str">
        <f>IF(OR(N22="",O22="",P22=""),"M",1)</f>
        <v>M</v>
      </c>
      <c r="BM22" s="217" t="str">
        <f>IF(OR(Q22="",R22="",S22=""),"M",1)</f>
        <v>M</v>
      </c>
      <c r="BN22" s="217">
        <f>IF(AND(BI22="M",BJ22="M",BK22="M",BL22="M",BM22="M",D22=""),0,1)</f>
        <v>0</v>
      </c>
      <c r="BO22" s="216"/>
      <c r="BP22" s="216"/>
      <c r="BQ22" s="218"/>
    </row>
    <row r="23" spans="1:69" ht="17.25" customHeight="1">
      <c r="A23" s="296">
        <v>-76</v>
      </c>
      <c r="B23" s="297">
        <f t="shared" si="0"/>
        <v>45849</v>
      </c>
      <c r="C23" s="298">
        <f t="shared" si="1"/>
        <v>45849</v>
      </c>
      <c r="D23" s="241"/>
      <c r="E23" s="46"/>
      <c r="F23" s="47"/>
      <c r="G23" s="48"/>
      <c r="H23" s="46"/>
      <c r="I23" s="47"/>
      <c r="J23" s="48"/>
      <c r="K23" s="46"/>
      <c r="L23" s="47"/>
      <c r="M23" s="48"/>
      <c r="N23" s="46"/>
      <c r="O23" s="47"/>
      <c r="P23" s="48"/>
      <c r="Q23" s="46"/>
      <c r="R23" s="47"/>
      <c r="S23" s="94"/>
      <c r="T23" s="92" t="str">
        <f>IF(BN23=0,"M",IF(D23="p1",AL23,IF(D23="p2",AM23,IF(D23="A",0,((E23*F23)*G23/0.6)+((H23*I23)*J23/0.6)+((K23*L23)*M23/0.6)+((N23*O23)*P23/0.6)+((Q23*R23)*S23/0.6)))))</f>
        <v>M</v>
      </c>
      <c r="U23" s="264" t="str">
        <f t="shared" si="5"/>
        <v>M</v>
      </c>
      <c r="V23" s="91"/>
      <c r="W23" s="127"/>
      <c r="X23" s="208">
        <f t="shared" si="2"/>
        <v>0</v>
      </c>
      <c r="Y23" s="209"/>
      <c r="Z23" s="209"/>
      <c r="AA23" s="209"/>
      <c r="AB23" s="209"/>
      <c r="AC23" s="250"/>
      <c r="AD23" s="259"/>
      <c r="AE23" s="274"/>
      <c r="AF23" s="267"/>
      <c r="AG23" s="267"/>
      <c r="AH23" s="267"/>
      <c r="AI23" s="267"/>
      <c r="AL23" s="212" t="b">
        <f t="shared" ref="AL23:AL99" si="22">IF(AN23=1,AX23,IF(AN23=2,AR23,IF(AN23=3,AS23,IF(AN23=4,AT23,IF(AN23=5,AU23,IF(AN23=6,AV23,IF(AN23=7,AW23)))))))</f>
        <v>0</v>
      </c>
      <c r="AM23" s="212" t="b">
        <f t="shared" si="4"/>
        <v>0</v>
      </c>
      <c r="AN23" s="212" t="str">
        <f>IF(D23="p1",AQ23,"no")</f>
        <v>no</v>
      </c>
      <c r="AO23" s="212" t="str">
        <f>IF(D23="p2",AQ23,"no")</f>
        <v>no</v>
      </c>
      <c r="AP23" s="213"/>
      <c r="AQ23" s="212">
        <f>WEEKDAY(C23)</f>
        <v>6</v>
      </c>
      <c r="AR23" s="214" t="str">
        <f t="shared" si="6"/>
        <v>M</v>
      </c>
      <c r="AS23" s="214" t="str">
        <f t="shared" si="10"/>
        <v>M</v>
      </c>
      <c r="AT23" s="214">
        <f t="shared" si="11"/>
        <v>0.70833333333333348</v>
      </c>
      <c r="AU23" s="214" t="str">
        <f t="shared" si="12"/>
        <v>M</v>
      </c>
      <c r="AV23" s="214" t="str">
        <f t="shared" si="13"/>
        <v>M</v>
      </c>
      <c r="AW23" s="214">
        <f t="shared" si="14"/>
        <v>0.70833333333333348</v>
      </c>
      <c r="AX23" s="214" t="str">
        <f t="shared" si="15"/>
        <v>M</v>
      </c>
      <c r="AY23" s="215"/>
      <c r="AZ23" s="214">
        <f t="shared" si="8"/>
        <v>0</v>
      </c>
      <c r="BA23" s="214">
        <f t="shared" si="16"/>
        <v>0</v>
      </c>
      <c r="BB23" s="214">
        <f t="shared" si="17"/>
        <v>0</v>
      </c>
      <c r="BC23" s="214">
        <f t="shared" si="18"/>
        <v>0</v>
      </c>
      <c r="BD23" s="214">
        <f t="shared" si="19"/>
        <v>0</v>
      </c>
      <c r="BE23" s="214">
        <f t="shared" si="20"/>
        <v>0</v>
      </c>
      <c r="BF23" s="214">
        <f t="shared" si="21"/>
        <v>0</v>
      </c>
      <c r="BI23" s="217" t="str">
        <f>IF(OR(E23="",F23="",G23=""),"M",1)</f>
        <v>M</v>
      </c>
      <c r="BJ23" s="217" t="str">
        <f>IF(OR(H23="",I23="",J23=""),"M",1)</f>
        <v>M</v>
      </c>
      <c r="BK23" s="217" t="str">
        <f>IF(OR(K23="",L23="",M23=""),"M",1)</f>
        <v>M</v>
      </c>
      <c r="BL23" s="217" t="str">
        <f>IF(OR(N23="",O23="",P23=""),"M",1)</f>
        <v>M</v>
      </c>
      <c r="BM23" s="217" t="str">
        <f>IF(OR(Q23="",R23="",S23=""),"M",1)</f>
        <v>M</v>
      </c>
      <c r="BN23" s="217">
        <f>IF(AND(BI23="M",BJ23="M",BK23="M",BL23="M",BM23="M",D23=""),0,1)</f>
        <v>0</v>
      </c>
      <c r="BO23" s="216"/>
      <c r="BP23" s="216"/>
      <c r="BQ23" s="218"/>
    </row>
    <row r="24" spans="1:69" ht="17.25" customHeight="1">
      <c r="A24" s="296">
        <v>-75</v>
      </c>
      <c r="B24" s="297">
        <f t="shared" si="0"/>
        <v>45850</v>
      </c>
      <c r="C24" s="298">
        <f t="shared" si="1"/>
        <v>45850</v>
      </c>
      <c r="D24" s="242"/>
      <c r="E24" s="46"/>
      <c r="F24" s="47"/>
      <c r="G24" s="48"/>
      <c r="H24" s="46"/>
      <c r="I24" s="47"/>
      <c r="J24" s="48"/>
      <c r="K24" s="46"/>
      <c r="L24" s="47"/>
      <c r="M24" s="48"/>
      <c r="N24" s="46"/>
      <c r="O24" s="47"/>
      <c r="P24" s="48"/>
      <c r="Q24" s="46"/>
      <c r="R24" s="47"/>
      <c r="S24" s="94"/>
      <c r="T24" s="92" t="str">
        <f>IF(BN24=0,"M",IF(D24="p1",AL24,IF(D24="p2",AM24,IF(D24="A",0,((E24*F24)*G24/0.6)+((H24*I24)*J24/0.6)+((K24*L24)*M24/0.6)+((N24*O24)*P24/0.6)+((Q24*R24)*S24/0.6)))))</f>
        <v>M</v>
      </c>
      <c r="U24" s="264" t="str">
        <f t="shared" si="5"/>
        <v>M</v>
      </c>
      <c r="V24" s="91"/>
      <c r="W24" s="127"/>
      <c r="X24" s="208">
        <f t="shared" si="2"/>
        <v>0</v>
      </c>
      <c r="Y24" s="209"/>
      <c r="Z24" s="209"/>
      <c r="AA24" s="209"/>
      <c r="AB24" s="209"/>
      <c r="AC24" s="250"/>
      <c r="AD24" s="259"/>
      <c r="AE24" s="274"/>
      <c r="AF24" s="267"/>
      <c r="AG24" s="267"/>
      <c r="AH24" s="267"/>
      <c r="AI24" s="267"/>
      <c r="AL24" s="212" t="b">
        <f t="shared" si="22"/>
        <v>0</v>
      </c>
      <c r="AM24" s="212" t="b">
        <f t="shared" si="4"/>
        <v>0</v>
      </c>
      <c r="AN24" s="212" t="str">
        <f>IF(D24="p1",AQ24,"no")</f>
        <v>no</v>
      </c>
      <c r="AO24" s="212" t="str">
        <f>IF(D24="p2",AQ24,"no")</f>
        <v>no</v>
      </c>
      <c r="AP24" s="213"/>
      <c r="AQ24" s="212">
        <f>WEEKDAY(C24)</f>
        <v>7</v>
      </c>
      <c r="AR24" s="214" t="str">
        <f t="shared" si="6"/>
        <v>M</v>
      </c>
      <c r="AS24" s="214" t="str">
        <f t="shared" si="10"/>
        <v>M</v>
      </c>
      <c r="AT24" s="214">
        <f t="shared" si="11"/>
        <v>0.70833333333333348</v>
      </c>
      <c r="AU24" s="214" t="str">
        <f t="shared" si="12"/>
        <v>M</v>
      </c>
      <c r="AV24" s="214" t="str">
        <f t="shared" si="13"/>
        <v>M</v>
      </c>
      <c r="AW24" s="214">
        <f t="shared" si="14"/>
        <v>0.70833333333333348</v>
      </c>
      <c r="AX24" s="214" t="str">
        <f t="shared" si="15"/>
        <v>M</v>
      </c>
      <c r="AY24" s="215"/>
      <c r="AZ24" s="214">
        <f t="shared" si="8"/>
        <v>0</v>
      </c>
      <c r="BA24" s="214">
        <f t="shared" si="16"/>
        <v>0</v>
      </c>
      <c r="BB24" s="214">
        <f t="shared" si="17"/>
        <v>0</v>
      </c>
      <c r="BC24" s="214">
        <f t="shared" si="18"/>
        <v>0</v>
      </c>
      <c r="BD24" s="214">
        <f t="shared" si="19"/>
        <v>0</v>
      </c>
      <c r="BE24" s="214">
        <f t="shared" si="20"/>
        <v>0</v>
      </c>
      <c r="BF24" s="214">
        <f t="shared" si="21"/>
        <v>0</v>
      </c>
      <c r="BI24" s="217" t="str">
        <f>IF(OR(E24="",F24="",G24=""),"M",1)</f>
        <v>M</v>
      </c>
      <c r="BJ24" s="217" t="str">
        <f>IF(OR(H24="",I24="",J24=""),"M",1)</f>
        <v>M</v>
      </c>
      <c r="BK24" s="217" t="str">
        <f>IF(OR(K24="",L24="",M24=""),"M",1)</f>
        <v>M</v>
      </c>
      <c r="BL24" s="217" t="str">
        <f>IF(OR(N24="",O24="",P24=""),"M",1)</f>
        <v>M</v>
      </c>
      <c r="BM24" s="217" t="str">
        <f>IF(OR(Q24="",R24="",S24=""),"M",1)</f>
        <v>M</v>
      </c>
      <c r="BN24" s="217">
        <f>IF(AND(BI24="M",BJ24="M",BK24="M",BL24="M",BM24="M",D24=""),0,1)</f>
        <v>0</v>
      </c>
      <c r="BO24" s="216"/>
      <c r="BP24" s="216"/>
      <c r="BQ24" s="218"/>
    </row>
    <row r="25" spans="1:69" ht="17.25" customHeight="1">
      <c r="A25" s="296">
        <v>-74</v>
      </c>
      <c r="B25" s="297">
        <f t="shared" si="0"/>
        <v>45851</v>
      </c>
      <c r="C25" s="298">
        <f t="shared" si="1"/>
        <v>45851</v>
      </c>
      <c r="D25" s="241"/>
      <c r="E25" s="46"/>
      <c r="F25" s="47"/>
      <c r="G25" s="48"/>
      <c r="H25" s="46"/>
      <c r="I25" s="47"/>
      <c r="J25" s="48"/>
      <c r="K25" s="46"/>
      <c r="L25" s="47"/>
      <c r="M25" s="48"/>
      <c r="N25" s="46"/>
      <c r="O25" s="47"/>
      <c r="P25" s="48"/>
      <c r="Q25" s="46"/>
      <c r="R25" s="47"/>
      <c r="S25" s="94"/>
      <c r="T25" s="92" t="str">
        <f>IF(BN25=0,"M",IF(D25="p1",AL25,IF(D25="p2",AM25,IF(D25="A",0,((E25*F25)*G25/0.6)+((H25*I25)*J25/0.6)+((K25*L25)*M25/0.6)+((N25*O25)*P25/0.6)+((Q25*R25)*S25/0.6)))))</f>
        <v>M</v>
      </c>
      <c r="U25" s="264" t="str">
        <f t="shared" si="5"/>
        <v>M</v>
      </c>
      <c r="V25" s="91"/>
      <c r="W25" s="127"/>
      <c r="X25" s="208">
        <f t="shared" si="2"/>
        <v>0</v>
      </c>
      <c r="Y25" s="209"/>
      <c r="Z25" s="209"/>
      <c r="AA25" s="209"/>
      <c r="AB25" s="209"/>
      <c r="AC25" s="257"/>
      <c r="AD25" s="261"/>
      <c r="AE25" s="276"/>
      <c r="AF25" s="276"/>
      <c r="AG25" s="276"/>
      <c r="AH25" s="276"/>
      <c r="AI25" s="276"/>
      <c r="AL25" s="212" t="b">
        <f t="shared" si="22"/>
        <v>0</v>
      </c>
      <c r="AM25" s="212" t="b">
        <f t="shared" si="4"/>
        <v>0</v>
      </c>
      <c r="AN25" s="212" t="str">
        <f>IF(D25="p1",AQ25,"no")</f>
        <v>no</v>
      </c>
      <c r="AO25" s="212" t="str">
        <f>IF(D25="p2",AQ25,"no")</f>
        <v>no</v>
      </c>
      <c r="AP25" s="213"/>
      <c r="AQ25" s="212">
        <f>WEEKDAY(C25)</f>
        <v>1</v>
      </c>
      <c r="AR25" s="214" t="str">
        <f t="shared" si="6"/>
        <v>M</v>
      </c>
      <c r="AS25" s="214" t="str">
        <f t="shared" si="10"/>
        <v>M</v>
      </c>
      <c r="AT25" s="214">
        <f t="shared" si="11"/>
        <v>0.70833333333333348</v>
      </c>
      <c r="AU25" s="214" t="str">
        <f t="shared" si="12"/>
        <v>M</v>
      </c>
      <c r="AV25" s="214" t="str">
        <f t="shared" si="13"/>
        <v>M</v>
      </c>
      <c r="AW25" s="214">
        <f t="shared" si="14"/>
        <v>0.70833333333333348</v>
      </c>
      <c r="AX25" s="214" t="str">
        <f t="shared" si="15"/>
        <v>M</v>
      </c>
      <c r="AY25" s="215"/>
      <c r="AZ25" s="214">
        <f t="shared" si="8"/>
        <v>0</v>
      </c>
      <c r="BA25" s="214">
        <f t="shared" si="16"/>
        <v>0</v>
      </c>
      <c r="BB25" s="214">
        <f t="shared" si="17"/>
        <v>0</v>
      </c>
      <c r="BC25" s="214">
        <f t="shared" si="18"/>
        <v>0</v>
      </c>
      <c r="BD25" s="214">
        <f t="shared" si="19"/>
        <v>0</v>
      </c>
      <c r="BE25" s="214">
        <f t="shared" si="20"/>
        <v>0</v>
      </c>
      <c r="BF25" s="214">
        <f t="shared" si="21"/>
        <v>0</v>
      </c>
      <c r="BI25" s="217" t="str">
        <f>IF(OR(E25="",F25="",G25=""),"M",1)</f>
        <v>M</v>
      </c>
      <c r="BJ25" s="217" t="str">
        <f>IF(OR(H25="",I25="",J25=""),"M",1)</f>
        <v>M</v>
      </c>
      <c r="BK25" s="217" t="str">
        <f>IF(OR(K25="",L25="",M25=""),"M",1)</f>
        <v>M</v>
      </c>
      <c r="BL25" s="217" t="str">
        <f>IF(OR(N25="",O25="",P25=""),"M",1)</f>
        <v>M</v>
      </c>
      <c r="BM25" s="217" t="str">
        <f>IF(OR(Q25="",R25="",S25=""),"M",1)</f>
        <v>M</v>
      </c>
      <c r="BN25" s="217">
        <f>IF(AND(BI25="M",BJ25="M",BK25="M",BL25="M",BM25="M",D25=""),0,1)</f>
        <v>0</v>
      </c>
      <c r="BO25" s="216"/>
      <c r="BP25" s="216"/>
      <c r="BQ25" s="218"/>
    </row>
    <row r="26" spans="1:69" ht="17.25" customHeight="1">
      <c r="A26" s="296">
        <v>-73</v>
      </c>
      <c r="B26" s="297">
        <f t="shared" si="0"/>
        <v>45852</v>
      </c>
      <c r="C26" s="298">
        <f t="shared" si="1"/>
        <v>45852</v>
      </c>
      <c r="D26" s="242"/>
      <c r="E26" s="46"/>
      <c r="F26" s="47"/>
      <c r="G26" s="48"/>
      <c r="H26" s="46"/>
      <c r="I26" s="47"/>
      <c r="J26" s="48"/>
      <c r="K26" s="46"/>
      <c r="L26" s="47"/>
      <c r="M26" s="48"/>
      <c r="N26" s="46"/>
      <c r="O26" s="47"/>
      <c r="P26" s="48"/>
      <c r="Q26" s="46"/>
      <c r="R26" s="47"/>
      <c r="S26" s="94"/>
      <c r="T26" s="92" t="str">
        <f>IF(BN26=0,"M",IF(D26="p1",AL26,IF(D26="p2",AM26,IF(D26="A",0,((E26*F26)*G26/0.6)+((H26*I26)*J26/0.6)+((K26*L26)*M26/0.6)+((N26*O26)*P26/0.6)+((Q26*R26)*S26/0.6)))))</f>
        <v>M</v>
      </c>
      <c r="U26" s="264" t="str">
        <f t="shared" si="5"/>
        <v>M</v>
      </c>
      <c r="V26" s="91"/>
      <c r="W26" s="127"/>
      <c r="X26" s="208">
        <f t="shared" si="2"/>
        <v>0</v>
      </c>
      <c r="Y26" s="209"/>
      <c r="Z26" s="209"/>
      <c r="AA26" s="209"/>
      <c r="AB26" s="209"/>
      <c r="AC26" s="250"/>
      <c r="AD26" s="250"/>
      <c r="AE26" s="277"/>
      <c r="AF26" s="275"/>
      <c r="AG26" s="275"/>
      <c r="AH26" s="267"/>
      <c r="AI26" s="267"/>
      <c r="AL26" s="212" t="b">
        <f t="shared" si="22"/>
        <v>0</v>
      </c>
      <c r="AM26" s="212" t="b">
        <f t="shared" si="4"/>
        <v>0</v>
      </c>
      <c r="AN26" s="212" t="str">
        <f>IF(D26="p1",AQ26,"no")</f>
        <v>no</v>
      </c>
      <c r="AO26" s="212" t="str">
        <f>IF(D26="p2",AQ26,"no")</f>
        <v>no</v>
      </c>
      <c r="AP26" s="213"/>
      <c r="AQ26" s="212">
        <f>WEEKDAY(C26)</f>
        <v>2</v>
      </c>
      <c r="AR26" s="214" t="str">
        <f t="shared" si="6"/>
        <v>M</v>
      </c>
      <c r="AS26" s="214" t="str">
        <f t="shared" si="10"/>
        <v>M</v>
      </c>
      <c r="AT26" s="214">
        <f t="shared" si="11"/>
        <v>0.70833333333333348</v>
      </c>
      <c r="AU26" s="214" t="str">
        <f t="shared" si="12"/>
        <v>M</v>
      </c>
      <c r="AV26" s="214" t="str">
        <f t="shared" si="13"/>
        <v>M</v>
      </c>
      <c r="AW26" s="214">
        <f t="shared" si="14"/>
        <v>0.70833333333333348</v>
      </c>
      <c r="AX26" s="214" t="str">
        <f t="shared" si="15"/>
        <v>M</v>
      </c>
      <c r="AY26" s="215"/>
      <c r="AZ26" s="214">
        <f t="shared" si="8"/>
        <v>0</v>
      </c>
      <c r="BA26" s="214">
        <f t="shared" si="16"/>
        <v>0</v>
      </c>
      <c r="BB26" s="214">
        <f t="shared" si="17"/>
        <v>0</v>
      </c>
      <c r="BC26" s="214">
        <f t="shared" si="18"/>
        <v>0</v>
      </c>
      <c r="BD26" s="214">
        <f t="shared" si="19"/>
        <v>0</v>
      </c>
      <c r="BE26" s="214">
        <f t="shared" si="20"/>
        <v>0</v>
      </c>
      <c r="BF26" s="214">
        <f t="shared" si="21"/>
        <v>0</v>
      </c>
      <c r="BI26" s="217" t="str">
        <f>IF(OR(E26="",F26="",G26=""),"M",1)</f>
        <v>M</v>
      </c>
      <c r="BJ26" s="217" t="str">
        <f>IF(OR(H26="",I26="",J26=""),"M",1)</f>
        <v>M</v>
      </c>
      <c r="BK26" s="217" t="str">
        <f>IF(OR(K26="",L26="",M26=""),"M",1)</f>
        <v>M</v>
      </c>
      <c r="BL26" s="217" t="str">
        <f>IF(OR(N26="",O26="",P26=""),"M",1)</f>
        <v>M</v>
      </c>
      <c r="BM26" s="217" t="str">
        <f>IF(OR(Q26="",R26="",S26=""),"M",1)</f>
        <v>M</v>
      </c>
      <c r="BN26" s="217">
        <f>IF(AND(BI26="M",BJ26="M",BK26="M",BL26="M",BM26="M",D26=""),0,1)</f>
        <v>0</v>
      </c>
      <c r="BO26" s="216"/>
      <c r="BP26" s="216"/>
      <c r="BQ26" s="218"/>
    </row>
    <row r="27" spans="1:69" ht="17.25" customHeight="1">
      <c r="A27" s="296">
        <v>-72</v>
      </c>
      <c r="B27" s="297">
        <f t="shared" si="0"/>
        <v>45853</v>
      </c>
      <c r="C27" s="298">
        <f t="shared" si="1"/>
        <v>45853</v>
      </c>
      <c r="D27" s="241"/>
      <c r="E27" s="46"/>
      <c r="F27" s="47"/>
      <c r="G27" s="48"/>
      <c r="H27" s="46"/>
      <c r="I27" s="47"/>
      <c r="J27" s="48"/>
      <c r="K27" s="46"/>
      <c r="L27" s="47"/>
      <c r="M27" s="48"/>
      <c r="N27" s="46"/>
      <c r="O27" s="47"/>
      <c r="P27" s="48"/>
      <c r="Q27" s="46"/>
      <c r="R27" s="47"/>
      <c r="S27" s="94"/>
      <c r="T27" s="92" t="str">
        <f>IF(BN27=0,"M",IF(D27="p1",AL27,IF(D27="p2",AM27,IF(D27="A",0,((E27*F27)*G27/0.6)+((H27*I27)*J27/0.6)+((K27*L27)*M27/0.6)+((N27*O27)*P27/0.6)+((Q27*R27)*S27/0.6)))))</f>
        <v>M</v>
      </c>
      <c r="U27" s="264" t="str">
        <f t="shared" si="5"/>
        <v>M</v>
      </c>
      <c r="V27" s="91"/>
      <c r="W27" s="127"/>
      <c r="X27" s="208">
        <f t="shared" si="2"/>
        <v>0</v>
      </c>
      <c r="Y27" s="209"/>
      <c r="Z27" s="209"/>
      <c r="AA27" s="209"/>
      <c r="AB27" s="209"/>
      <c r="AC27" s="250"/>
      <c r="AD27" s="259"/>
      <c r="AE27" s="267"/>
      <c r="AF27" s="267"/>
      <c r="AG27" s="267"/>
      <c r="AH27" s="267"/>
      <c r="AI27" s="267"/>
      <c r="AL27" s="212" t="b">
        <f t="shared" si="22"/>
        <v>0</v>
      </c>
      <c r="AM27" s="212" t="b">
        <f t="shared" si="4"/>
        <v>0</v>
      </c>
      <c r="AN27" s="212" t="str">
        <f>IF(D27="p1",AQ27,"no")</f>
        <v>no</v>
      </c>
      <c r="AO27" s="212" t="str">
        <f>IF(D27="p2",AQ27,"no")</f>
        <v>no</v>
      </c>
      <c r="AP27" s="213"/>
      <c r="AQ27" s="212">
        <f>WEEKDAY(C27)</f>
        <v>3</v>
      </c>
      <c r="AR27" s="214" t="str">
        <f t="shared" si="6"/>
        <v>M</v>
      </c>
      <c r="AS27" s="214" t="str">
        <f t="shared" si="10"/>
        <v>M</v>
      </c>
      <c r="AT27" s="214">
        <f t="shared" si="11"/>
        <v>0.70833333333333348</v>
      </c>
      <c r="AU27" s="214" t="str">
        <f t="shared" si="12"/>
        <v>M</v>
      </c>
      <c r="AV27" s="214" t="str">
        <f t="shared" si="13"/>
        <v>M</v>
      </c>
      <c r="AW27" s="214">
        <f t="shared" si="14"/>
        <v>0.70833333333333348</v>
      </c>
      <c r="AX27" s="214" t="str">
        <f t="shared" si="15"/>
        <v>M</v>
      </c>
      <c r="AY27" s="215"/>
      <c r="AZ27" s="214">
        <f t="shared" si="8"/>
        <v>0</v>
      </c>
      <c r="BA27" s="214">
        <f t="shared" si="16"/>
        <v>0</v>
      </c>
      <c r="BB27" s="214">
        <f t="shared" si="17"/>
        <v>0</v>
      </c>
      <c r="BC27" s="214">
        <f t="shared" si="18"/>
        <v>0</v>
      </c>
      <c r="BD27" s="214">
        <f t="shared" si="19"/>
        <v>0</v>
      </c>
      <c r="BE27" s="214">
        <f t="shared" si="20"/>
        <v>0</v>
      </c>
      <c r="BF27" s="214">
        <f t="shared" si="21"/>
        <v>0</v>
      </c>
      <c r="BI27" s="217" t="str">
        <f>IF(OR(E27="",F27="",G27=""),"M",1)</f>
        <v>M</v>
      </c>
      <c r="BJ27" s="217" t="str">
        <f>IF(OR(H27="",I27="",J27=""),"M",1)</f>
        <v>M</v>
      </c>
      <c r="BK27" s="217" t="str">
        <f>IF(OR(K27="",L27="",M27=""),"M",1)</f>
        <v>M</v>
      </c>
      <c r="BL27" s="217" t="str">
        <f>IF(OR(N27="",O27="",P27=""),"M",1)</f>
        <v>M</v>
      </c>
      <c r="BM27" s="217" t="str">
        <f>IF(OR(Q27="",R27="",S27=""),"M",1)</f>
        <v>M</v>
      </c>
      <c r="BN27" s="217">
        <f>IF(AND(BI27="M",BJ27="M",BK27="M",BL27="M",BM27="M",D27=""),0,1)</f>
        <v>0</v>
      </c>
      <c r="BO27" s="216"/>
      <c r="BP27" s="216"/>
      <c r="BQ27" s="218"/>
    </row>
    <row r="28" spans="1:69" ht="17.25" customHeight="1">
      <c r="A28" s="296">
        <v>-71</v>
      </c>
      <c r="B28" s="297">
        <f t="shared" si="0"/>
        <v>45854</v>
      </c>
      <c r="C28" s="298">
        <f t="shared" si="1"/>
        <v>45854</v>
      </c>
      <c r="D28" s="242"/>
      <c r="E28" s="46"/>
      <c r="F28" s="47"/>
      <c r="G28" s="48"/>
      <c r="H28" s="46"/>
      <c r="I28" s="47"/>
      <c r="J28" s="48"/>
      <c r="K28" s="46"/>
      <c r="L28" s="47"/>
      <c r="M28" s="48"/>
      <c r="N28" s="46"/>
      <c r="O28" s="47"/>
      <c r="P28" s="48"/>
      <c r="Q28" s="46"/>
      <c r="R28" s="47"/>
      <c r="S28" s="94"/>
      <c r="T28" s="92" t="str">
        <f>IF(BN28=0,"M",IF(D28="p1",AL28,IF(D28="p2",AM28,IF(D28="A",0,((E28*F28)*G28/0.6)+((H28*I28)*J28/0.6)+((K28*L28)*M28/0.6)+((N28*O28)*P28/0.6)+((Q28*R28)*S28/0.6)))))</f>
        <v>M</v>
      </c>
      <c r="U28" s="264" t="str">
        <f t="shared" si="5"/>
        <v>M</v>
      </c>
      <c r="V28" s="91"/>
      <c r="W28" s="127"/>
      <c r="X28" s="208">
        <f t="shared" si="2"/>
        <v>0</v>
      </c>
      <c r="Y28" s="209"/>
      <c r="Z28" s="209"/>
      <c r="AA28" s="209"/>
      <c r="AB28" s="209"/>
      <c r="AC28" s="250"/>
      <c r="AD28" s="266"/>
      <c r="AE28" s="278"/>
      <c r="AF28" s="278"/>
      <c r="AG28" s="278"/>
      <c r="AH28" s="278"/>
      <c r="AI28" s="278"/>
      <c r="AL28" s="212" t="b">
        <f t="shared" si="22"/>
        <v>0</v>
      </c>
      <c r="AM28" s="212" t="b">
        <f t="shared" si="4"/>
        <v>0</v>
      </c>
      <c r="AN28" s="212" t="str">
        <f>IF(D28="p1",AQ28,"no")</f>
        <v>no</v>
      </c>
      <c r="AO28" s="212" t="str">
        <f>IF(D28="p2",AQ28,"no")</f>
        <v>no</v>
      </c>
      <c r="AP28" s="213"/>
      <c r="AQ28" s="212">
        <f>WEEKDAY(C28)</f>
        <v>4</v>
      </c>
      <c r="AR28" s="214" t="str">
        <f t="shared" si="6"/>
        <v>M</v>
      </c>
      <c r="AS28" s="214" t="str">
        <f t="shared" si="10"/>
        <v>M</v>
      </c>
      <c r="AT28" s="214">
        <f t="shared" si="11"/>
        <v>0.70833333333333348</v>
      </c>
      <c r="AU28" s="214" t="str">
        <f t="shared" si="12"/>
        <v>M</v>
      </c>
      <c r="AV28" s="214" t="str">
        <f t="shared" si="13"/>
        <v>M</v>
      </c>
      <c r="AW28" s="214">
        <f t="shared" si="14"/>
        <v>0.70833333333333348</v>
      </c>
      <c r="AX28" s="214" t="str">
        <f t="shared" si="15"/>
        <v>M</v>
      </c>
      <c r="AY28" s="215"/>
      <c r="AZ28" s="214">
        <f t="shared" si="8"/>
        <v>0</v>
      </c>
      <c r="BA28" s="214">
        <f t="shared" si="16"/>
        <v>0</v>
      </c>
      <c r="BB28" s="214">
        <f t="shared" si="17"/>
        <v>0</v>
      </c>
      <c r="BC28" s="214">
        <f t="shared" si="18"/>
        <v>0</v>
      </c>
      <c r="BD28" s="214">
        <f t="shared" si="19"/>
        <v>0</v>
      </c>
      <c r="BE28" s="214">
        <f t="shared" si="20"/>
        <v>0</v>
      </c>
      <c r="BF28" s="214">
        <f t="shared" si="21"/>
        <v>0</v>
      </c>
      <c r="BI28" s="217" t="str">
        <f>IF(OR(E28="",F28="",G28=""),"M",1)</f>
        <v>M</v>
      </c>
      <c r="BJ28" s="217" t="str">
        <f>IF(OR(H28="",I28="",J28=""),"M",1)</f>
        <v>M</v>
      </c>
      <c r="BK28" s="217" t="str">
        <f>IF(OR(K28="",L28="",M28=""),"M",1)</f>
        <v>M</v>
      </c>
      <c r="BL28" s="217" t="str">
        <f>IF(OR(N28="",O28="",P28=""),"M",1)</f>
        <v>M</v>
      </c>
      <c r="BM28" s="217" t="str">
        <f>IF(OR(Q28="",R28="",S28=""),"M",1)</f>
        <v>M</v>
      </c>
      <c r="BN28" s="217">
        <f>IF(AND(BI28="M",BJ28="M",BK28="M",BL28="M",BM28="M",D28=""),0,1)</f>
        <v>0</v>
      </c>
      <c r="BO28" s="216"/>
      <c r="BP28" s="216"/>
      <c r="BQ28" s="218"/>
    </row>
    <row r="29" spans="1:69" ht="17.25" customHeight="1">
      <c r="A29" s="296">
        <v>-70</v>
      </c>
      <c r="B29" s="297">
        <f t="shared" si="0"/>
        <v>45855</v>
      </c>
      <c r="C29" s="298">
        <f t="shared" si="1"/>
        <v>45855</v>
      </c>
      <c r="D29" s="241"/>
      <c r="E29" s="46"/>
      <c r="F29" s="47"/>
      <c r="G29" s="48"/>
      <c r="H29" s="46"/>
      <c r="I29" s="47"/>
      <c r="J29" s="48"/>
      <c r="K29" s="46"/>
      <c r="L29" s="47"/>
      <c r="M29" s="48"/>
      <c r="N29" s="46"/>
      <c r="O29" s="47"/>
      <c r="P29" s="48"/>
      <c r="Q29" s="46"/>
      <c r="R29" s="47"/>
      <c r="S29" s="94"/>
      <c r="T29" s="92" t="str">
        <f>IF(BN29=0,"M",IF(D29="p1",AL29,IF(D29="p2",AM29,IF(D29="A",0,((E29*F29)*G29/0.6)+((H29*I29)*J29/0.6)+((K29*L29)*M29/0.6)+((N29*O29)*P29/0.6)+((Q29*R29)*S29/0.6)))))</f>
        <v>M</v>
      </c>
      <c r="U29" s="264" t="str">
        <f t="shared" si="5"/>
        <v>M</v>
      </c>
      <c r="V29" s="91"/>
      <c r="W29" s="127"/>
      <c r="X29" s="208">
        <f t="shared" si="2"/>
        <v>0</v>
      </c>
      <c r="Y29" s="209"/>
      <c r="Z29" s="209"/>
      <c r="AA29" s="209"/>
      <c r="AB29" s="209"/>
      <c r="AC29" s="209"/>
      <c r="AD29" s="262"/>
      <c r="AE29" s="221"/>
      <c r="AF29" s="221"/>
      <c r="AG29" s="221"/>
      <c r="AH29" s="221"/>
      <c r="AI29" s="221"/>
      <c r="AL29" s="212" t="b">
        <f t="shared" si="22"/>
        <v>0</v>
      </c>
      <c r="AM29" s="212" t="b">
        <f t="shared" si="4"/>
        <v>0</v>
      </c>
      <c r="AN29" s="212" t="str">
        <f>IF(D29="p1",AQ29,"no")</f>
        <v>no</v>
      </c>
      <c r="AO29" s="212" t="str">
        <f>IF(D29="p2",AQ29,"no")</f>
        <v>no</v>
      </c>
      <c r="AP29" s="213"/>
      <c r="AQ29" s="212">
        <f>WEEKDAY(C29)</f>
        <v>5</v>
      </c>
      <c r="AR29" s="214" t="str">
        <f t="shared" si="6"/>
        <v>M</v>
      </c>
      <c r="AS29" s="214" t="str">
        <f t="shared" si="10"/>
        <v>M</v>
      </c>
      <c r="AT29" s="214">
        <f t="shared" si="11"/>
        <v>0.70833333333333348</v>
      </c>
      <c r="AU29" s="214" t="str">
        <f t="shared" si="12"/>
        <v>M</v>
      </c>
      <c r="AV29" s="214" t="str">
        <f t="shared" si="13"/>
        <v>M</v>
      </c>
      <c r="AW29" s="214">
        <f t="shared" si="14"/>
        <v>0.70833333333333348</v>
      </c>
      <c r="AX29" s="214" t="str">
        <f t="shared" si="15"/>
        <v>M</v>
      </c>
      <c r="AY29" s="215"/>
      <c r="AZ29" s="214">
        <f t="shared" si="8"/>
        <v>0</v>
      </c>
      <c r="BA29" s="214">
        <f t="shared" si="16"/>
        <v>0</v>
      </c>
      <c r="BB29" s="214">
        <f t="shared" si="17"/>
        <v>0</v>
      </c>
      <c r="BC29" s="214">
        <f t="shared" si="18"/>
        <v>0</v>
      </c>
      <c r="BD29" s="214">
        <f t="shared" si="19"/>
        <v>0</v>
      </c>
      <c r="BE29" s="214">
        <f t="shared" si="20"/>
        <v>0</v>
      </c>
      <c r="BF29" s="214">
        <f t="shared" si="21"/>
        <v>0</v>
      </c>
      <c r="BI29" s="217" t="str">
        <f>IF(OR(E29="",F29="",G29=""),"M",1)</f>
        <v>M</v>
      </c>
      <c r="BJ29" s="217" t="str">
        <f>IF(OR(H29="",I29="",J29=""),"M",1)</f>
        <v>M</v>
      </c>
      <c r="BK29" s="217" t="str">
        <f>IF(OR(K29="",L29="",M29=""),"M",1)</f>
        <v>M</v>
      </c>
      <c r="BL29" s="217" t="str">
        <f>IF(OR(N29="",O29="",P29=""),"M",1)</f>
        <v>M</v>
      </c>
      <c r="BM29" s="217" t="str">
        <f>IF(OR(Q29="",R29="",S29=""),"M",1)</f>
        <v>M</v>
      </c>
      <c r="BN29" s="217">
        <f>IF(AND(BI29="M",BJ29="M",BK29="M",BL29="M",BM29="M",D29=""),0,1)</f>
        <v>0</v>
      </c>
      <c r="BO29" s="216"/>
      <c r="BP29" s="216"/>
      <c r="BQ29" s="218"/>
    </row>
    <row r="30" spans="1:69" ht="17.25" customHeight="1">
      <c r="A30" s="296">
        <v>-69</v>
      </c>
      <c r="B30" s="297">
        <f t="shared" si="0"/>
        <v>45856</v>
      </c>
      <c r="C30" s="298">
        <f t="shared" si="1"/>
        <v>45856</v>
      </c>
      <c r="D30" s="242"/>
      <c r="E30" s="46"/>
      <c r="F30" s="47"/>
      <c r="G30" s="48"/>
      <c r="H30" s="46"/>
      <c r="I30" s="47"/>
      <c r="J30" s="48"/>
      <c r="K30" s="46"/>
      <c r="L30" s="47"/>
      <c r="M30" s="48"/>
      <c r="N30" s="46"/>
      <c r="O30" s="47"/>
      <c r="P30" s="48"/>
      <c r="Q30" s="46"/>
      <c r="R30" s="47"/>
      <c r="S30" s="94"/>
      <c r="T30" s="92" t="str">
        <f>IF(BN30=0,"M",IF(D30="p1",AL30,IF(D30="p2",AM30,IF(D30="A",0,((E30*F30)*G30/0.6)+((H30*I30)*J30/0.6)+((K30*L30)*M30/0.6)+((N30*O30)*P30/0.6)+((Q30*R30)*S30/0.6)))))</f>
        <v>M</v>
      </c>
      <c r="U30" s="264" t="str">
        <f t="shared" si="5"/>
        <v>M</v>
      </c>
      <c r="V30" s="91"/>
      <c r="W30" s="127"/>
      <c r="X30" s="208">
        <f t="shared" si="2"/>
        <v>0</v>
      </c>
      <c r="Y30" s="209"/>
      <c r="Z30" s="209"/>
      <c r="AA30" s="209"/>
      <c r="AB30" s="209"/>
      <c r="AC30" s="257"/>
      <c r="AD30" s="263"/>
      <c r="AE30" s="234"/>
      <c r="AF30" s="234"/>
      <c r="AG30" s="234"/>
      <c r="AH30" s="234"/>
      <c r="AI30" s="234"/>
      <c r="AL30" s="212" t="b">
        <f t="shared" si="22"/>
        <v>0</v>
      </c>
      <c r="AM30" s="212" t="b">
        <f t="shared" si="4"/>
        <v>0</v>
      </c>
      <c r="AN30" s="212" t="str">
        <f>IF(D30="p1",AQ30,"no")</f>
        <v>no</v>
      </c>
      <c r="AO30" s="212" t="str">
        <f>IF(D30="p2",AQ30,"no")</f>
        <v>no</v>
      </c>
      <c r="AP30" s="213"/>
      <c r="AQ30" s="212">
        <f>WEEKDAY(C30)</f>
        <v>6</v>
      </c>
      <c r="AR30" s="214" t="str">
        <f t="shared" si="6"/>
        <v>M</v>
      </c>
      <c r="AS30" s="214" t="str">
        <f t="shared" si="10"/>
        <v>M</v>
      </c>
      <c r="AT30" s="214">
        <f t="shared" si="11"/>
        <v>0.70833333333333348</v>
      </c>
      <c r="AU30" s="214" t="str">
        <f t="shared" si="12"/>
        <v>M</v>
      </c>
      <c r="AV30" s="214" t="str">
        <f t="shared" si="13"/>
        <v>M</v>
      </c>
      <c r="AW30" s="214">
        <f t="shared" si="14"/>
        <v>0.70833333333333348</v>
      </c>
      <c r="AX30" s="214" t="str">
        <f t="shared" si="15"/>
        <v>M</v>
      </c>
      <c r="AY30" s="215"/>
      <c r="AZ30" s="214">
        <f t="shared" si="8"/>
        <v>0</v>
      </c>
      <c r="BA30" s="214">
        <f t="shared" si="16"/>
        <v>0</v>
      </c>
      <c r="BB30" s="214">
        <f t="shared" si="17"/>
        <v>0</v>
      </c>
      <c r="BC30" s="214">
        <f t="shared" si="18"/>
        <v>0</v>
      </c>
      <c r="BD30" s="214">
        <f t="shared" si="19"/>
        <v>0</v>
      </c>
      <c r="BE30" s="214">
        <f t="shared" si="20"/>
        <v>0</v>
      </c>
      <c r="BF30" s="214">
        <f t="shared" si="21"/>
        <v>0</v>
      </c>
      <c r="BI30" s="217" t="str">
        <f>IF(OR(E30="",F30="",G30=""),"M",1)</f>
        <v>M</v>
      </c>
      <c r="BJ30" s="217" t="str">
        <f>IF(OR(H30="",I30="",J30=""),"M",1)</f>
        <v>M</v>
      </c>
      <c r="BK30" s="217" t="str">
        <f>IF(OR(K30="",L30="",M30=""),"M",1)</f>
        <v>M</v>
      </c>
      <c r="BL30" s="217" t="str">
        <f>IF(OR(N30="",O30="",P30=""),"M",1)</f>
        <v>M</v>
      </c>
      <c r="BM30" s="217" t="str">
        <f>IF(OR(Q30="",R30="",S30=""),"M",1)</f>
        <v>M</v>
      </c>
      <c r="BN30" s="217">
        <f>IF(AND(BI30="M",BJ30="M",BK30="M",BL30="M",BM30="M",D30=""),0,1)</f>
        <v>0</v>
      </c>
      <c r="BO30" s="216"/>
      <c r="BP30" s="216"/>
      <c r="BQ30" s="218"/>
    </row>
    <row r="31" spans="1:69" ht="17.25" customHeight="1">
      <c r="A31" s="296">
        <v>-68</v>
      </c>
      <c r="B31" s="297">
        <f t="shared" si="0"/>
        <v>45857</v>
      </c>
      <c r="C31" s="298">
        <f t="shared" si="1"/>
        <v>45857</v>
      </c>
      <c r="D31" s="241"/>
      <c r="E31" s="46"/>
      <c r="F31" s="47"/>
      <c r="G31" s="48"/>
      <c r="H31" s="46"/>
      <c r="I31" s="47"/>
      <c r="J31" s="48"/>
      <c r="K31" s="46"/>
      <c r="L31" s="47"/>
      <c r="M31" s="48"/>
      <c r="N31" s="46"/>
      <c r="O31" s="47"/>
      <c r="P31" s="48"/>
      <c r="Q31" s="46"/>
      <c r="R31" s="47"/>
      <c r="S31" s="94"/>
      <c r="T31" s="92" t="str">
        <f>IF(BN31=0,"M",IF(D31="p1",AL31,IF(D31="p2",AM31,IF(D31="A",0,((E31*F31)*G31/0.6)+((H31*I31)*J31/0.6)+((K31*L31)*M31/0.6)+((N31*O31)*P31/0.6)+((Q31*R31)*S31/0.6)))))</f>
        <v>M</v>
      </c>
      <c r="U31" s="264" t="str">
        <f t="shared" si="5"/>
        <v>M</v>
      </c>
      <c r="V31" s="91"/>
      <c r="W31" s="127"/>
      <c r="X31" s="208">
        <f t="shared" si="2"/>
        <v>0</v>
      </c>
      <c r="Y31" s="209"/>
      <c r="Z31" s="209"/>
      <c r="AA31" s="209"/>
      <c r="AB31" s="209"/>
      <c r="AC31" s="257"/>
      <c r="AD31" s="261"/>
      <c r="AE31" s="234"/>
      <c r="AF31" s="234"/>
      <c r="AG31" s="234"/>
      <c r="AH31" s="234"/>
      <c r="AI31" s="234"/>
      <c r="AL31" s="212" t="b">
        <f t="shared" si="22"/>
        <v>0</v>
      </c>
      <c r="AM31" s="212" t="b">
        <f t="shared" si="4"/>
        <v>0</v>
      </c>
      <c r="AN31" s="212" t="str">
        <f>IF(D31="p1",AQ31,"no")</f>
        <v>no</v>
      </c>
      <c r="AO31" s="212" t="str">
        <f>IF(D31="p2",AQ31,"no")</f>
        <v>no</v>
      </c>
      <c r="AP31" s="213"/>
      <c r="AQ31" s="212">
        <f>WEEKDAY(C31)</f>
        <v>7</v>
      </c>
      <c r="AR31" s="214" t="str">
        <f t="shared" si="6"/>
        <v>M</v>
      </c>
      <c r="AS31" s="214" t="str">
        <f t="shared" si="10"/>
        <v>M</v>
      </c>
      <c r="AT31" s="214">
        <f t="shared" si="11"/>
        <v>0.70833333333333348</v>
      </c>
      <c r="AU31" s="214" t="str">
        <f t="shared" si="12"/>
        <v>M</v>
      </c>
      <c r="AV31" s="214" t="str">
        <f t="shared" si="13"/>
        <v>M</v>
      </c>
      <c r="AW31" s="214">
        <f t="shared" si="14"/>
        <v>0.70833333333333348</v>
      </c>
      <c r="AX31" s="214" t="str">
        <f t="shared" si="15"/>
        <v>M</v>
      </c>
      <c r="AY31" s="215"/>
      <c r="AZ31" s="214">
        <f t="shared" si="8"/>
        <v>0</v>
      </c>
      <c r="BA31" s="214">
        <f t="shared" si="16"/>
        <v>0</v>
      </c>
      <c r="BB31" s="214">
        <f t="shared" si="17"/>
        <v>0</v>
      </c>
      <c r="BC31" s="214">
        <f t="shared" si="18"/>
        <v>0</v>
      </c>
      <c r="BD31" s="214">
        <f t="shared" si="19"/>
        <v>0</v>
      </c>
      <c r="BE31" s="214">
        <f t="shared" si="20"/>
        <v>0</v>
      </c>
      <c r="BF31" s="214">
        <f t="shared" si="21"/>
        <v>0</v>
      </c>
      <c r="BI31" s="217" t="str">
        <f>IF(OR(E31="",F31="",G31=""),"M",1)</f>
        <v>M</v>
      </c>
      <c r="BJ31" s="217" t="str">
        <f>IF(OR(H31="",I31="",J31=""),"M",1)</f>
        <v>M</v>
      </c>
      <c r="BK31" s="217" t="str">
        <f>IF(OR(K31="",L31="",M31=""),"M",1)</f>
        <v>M</v>
      </c>
      <c r="BL31" s="217" t="str">
        <f>IF(OR(N31="",O31="",P31=""),"M",1)</f>
        <v>M</v>
      </c>
      <c r="BM31" s="217" t="str">
        <f>IF(OR(Q31="",R31="",S31=""),"M",1)</f>
        <v>M</v>
      </c>
      <c r="BN31" s="217">
        <f>IF(AND(BI31="M",BJ31="M",BK31="M",BL31="M",BM31="M",D31=""),0,1)</f>
        <v>0</v>
      </c>
      <c r="BO31" s="216"/>
      <c r="BP31" s="216"/>
      <c r="BQ31" s="218"/>
    </row>
    <row r="32" spans="1:69" ht="17.25" customHeight="1">
      <c r="A32" s="296">
        <v>-67</v>
      </c>
      <c r="B32" s="297">
        <f t="shared" si="0"/>
        <v>45858</v>
      </c>
      <c r="C32" s="298">
        <f t="shared" si="1"/>
        <v>45858</v>
      </c>
      <c r="D32" s="242"/>
      <c r="E32" s="46"/>
      <c r="F32" s="47"/>
      <c r="G32" s="48"/>
      <c r="H32" s="46"/>
      <c r="I32" s="47"/>
      <c r="J32" s="48"/>
      <c r="K32" s="46"/>
      <c r="L32" s="47"/>
      <c r="M32" s="48"/>
      <c r="N32" s="46"/>
      <c r="O32" s="47"/>
      <c r="P32" s="48"/>
      <c r="Q32" s="46"/>
      <c r="R32" s="47"/>
      <c r="S32" s="94"/>
      <c r="T32" s="92" t="str">
        <f>IF(BN32=0,"M",IF(D32="p1",AL32,IF(D32="p2",AM32,IF(D32="A",0,((E32*F32)*G32/0.6)+((H32*I32)*J32/0.6)+((K32*L32)*M32/0.6)+((N32*O32)*P32/0.6)+((Q32*R32)*S32/0.6)))))</f>
        <v>M</v>
      </c>
      <c r="U32" s="264" t="str">
        <f t="shared" si="5"/>
        <v>M</v>
      </c>
      <c r="V32" s="91"/>
      <c r="W32" s="127"/>
      <c r="X32" s="208">
        <f t="shared" si="2"/>
        <v>0</v>
      </c>
      <c r="Y32" s="209"/>
      <c r="Z32" s="209"/>
      <c r="AA32" s="209"/>
      <c r="AB32" s="209"/>
      <c r="AC32" s="257"/>
      <c r="AD32" s="261"/>
      <c r="AE32" s="234"/>
      <c r="AF32" s="234"/>
      <c r="AG32" s="234"/>
      <c r="AH32" s="234"/>
      <c r="AI32" s="234"/>
      <c r="AL32" s="212" t="b">
        <f t="shared" si="22"/>
        <v>0</v>
      </c>
      <c r="AM32" s="212" t="b">
        <f t="shared" si="4"/>
        <v>0</v>
      </c>
      <c r="AN32" s="212" t="str">
        <f>IF(D32="p1",AQ32,"no")</f>
        <v>no</v>
      </c>
      <c r="AO32" s="212" t="str">
        <f>IF(D32="p2",AQ32,"no")</f>
        <v>no</v>
      </c>
      <c r="AP32" s="213"/>
      <c r="AQ32" s="212">
        <f>WEEKDAY(C32)</f>
        <v>1</v>
      </c>
      <c r="AR32" s="214" t="str">
        <f t="shared" si="6"/>
        <v>M</v>
      </c>
      <c r="AS32" s="214" t="str">
        <f t="shared" si="10"/>
        <v>M</v>
      </c>
      <c r="AT32" s="214">
        <f t="shared" si="11"/>
        <v>0.70833333333333348</v>
      </c>
      <c r="AU32" s="214" t="str">
        <f t="shared" si="12"/>
        <v>M</v>
      </c>
      <c r="AV32" s="214" t="str">
        <f t="shared" si="13"/>
        <v>M</v>
      </c>
      <c r="AW32" s="214">
        <f t="shared" si="14"/>
        <v>0.70833333333333348</v>
      </c>
      <c r="AX32" s="214" t="str">
        <f t="shared" si="15"/>
        <v>M</v>
      </c>
      <c r="AY32" s="215"/>
      <c r="AZ32" s="214">
        <f t="shared" si="8"/>
        <v>0</v>
      </c>
      <c r="BA32" s="214">
        <f t="shared" si="16"/>
        <v>0</v>
      </c>
      <c r="BB32" s="214">
        <f t="shared" si="17"/>
        <v>0</v>
      </c>
      <c r="BC32" s="214">
        <f t="shared" si="18"/>
        <v>0</v>
      </c>
      <c r="BD32" s="214">
        <f t="shared" si="19"/>
        <v>0</v>
      </c>
      <c r="BE32" s="214">
        <f t="shared" si="20"/>
        <v>0</v>
      </c>
      <c r="BF32" s="214">
        <f t="shared" si="21"/>
        <v>0</v>
      </c>
      <c r="BI32" s="217" t="str">
        <f>IF(OR(E32="",F32="",G32=""),"M",1)</f>
        <v>M</v>
      </c>
      <c r="BJ32" s="217" t="str">
        <f>IF(OR(H32="",I32="",J32=""),"M",1)</f>
        <v>M</v>
      </c>
      <c r="BK32" s="217" t="str">
        <f>IF(OR(K32="",L32="",M32=""),"M",1)</f>
        <v>M</v>
      </c>
      <c r="BL32" s="217" t="str">
        <f>IF(OR(N32="",O32="",P32=""),"M",1)</f>
        <v>M</v>
      </c>
      <c r="BM32" s="217" t="str">
        <f>IF(OR(Q32="",R32="",S32=""),"M",1)</f>
        <v>M</v>
      </c>
      <c r="BN32" s="217">
        <f>IF(AND(BI32="M",BJ32="M",BK32="M",BL32="M",BM32="M",D32=""),0,1)</f>
        <v>0</v>
      </c>
      <c r="BO32" s="216"/>
      <c r="BP32" s="216"/>
      <c r="BQ32" s="218"/>
    </row>
    <row r="33" spans="1:69" ht="17.25" customHeight="1">
      <c r="A33" s="296">
        <v>-66</v>
      </c>
      <c r="B33" s="297">
        <f t="shared" si="0"/>
        <v>45859</v>
      </c>
      <c r="C33" s="298">
        <f t="shared" si="1"/>
        <v>45859</v>
      </c>
      <c r="D33" s="241"/>
      <c r="E33" s="46"/>
      <c r="F33" s="47"/>
      <c r="G33" s="48"/>
      <c r="H33" s="46"/>
      <c r="I33" s="47"/>
      <c r="J33" s="48"/>
      <c r="K33" s="46"/>
      <c r="L33" s="47"/>
      <c r="M33" s="48"/>
      <c r="N33" s="46"/>
      <c r="O33" s="47"/>
      <c r="P33" s="48"/>
      <c r="Q33" s="46"/>
      <c r="R33" s="47"/>
      <c r="S33" s="94"/>
      <c r="T33" s="92" t="str">
        <f>IF(BN33=0,"M",IF(D33="p1",AL33,IF(D33="p2",AM33,IF(D33="A",0,((E33*F33)*G33/0.6)+((H33*I33)*J33/0.6)+((K33*L33)*M33/0.6)+((N33*O33)*P33/0.6)+((Q33*R33)*S33/0.6)))))</f>
        <v>M</v>
      </c>
      <c r="U33" s="264" t="str">
        <f t="shared" ref="U33:U96" si="23">IF(T33="M", "M", IF(T33&gt;40, "YES", "NO"))</f>
        <v>M</v>
      </c>
      <c r="V33" s="91"/>
      <c r="W33" s="127"/>
      <c r="X33" s="208">
        <f t="shared" si="2"/>
        <v>0</v>
      </c>
      <c r="Y33" s="209"/>
      <c r="Z33" s="209"/>
      <c r="AA33" s="209"/>
      <c r="AB33" s="209"/>
      <c r="AC33" s="257"/>
      <c r="AD33" s="261"/>
      <c r="AE33" s="234"/>
      <c r="AF33" s="234"/>
      <c r="AG33" s="234"/>
      <c r="AH33" s="234"/>
      <c r="AI33" s="234"/>
      <c r="AL33" s="212" t="b">
        <f t="shared" ref="AL33:AL96" si="24">IF(AN33=1,AX33,IF(AN33=2,AR33,IF(AN33=3,AS33,IF(AN33=4,AT33,IF(AN33=5,AU33,IF(AN33=6,AV33,IF(AN33=7,AW33)))))))</f>
        <v>0</v>
      </c>
      <c r="AM33" s="212" t="b">
        <f t="shared" ref="AM33:AM96" si="25">IF(AO33=1,BF33,IF(AO33=2,AZ33,IF(AO33=3,BA33,IF(AO33=4,BB33,IF(AO33=5,BC33,IF(AO33=6,BD33,IF(AO33=7,BE33)))))))</f>
        <v>0</v>
      </c>
      <c r="AN33" s="212" t="str">
        <f>IF(D33="p1",AQ33,"no")</f>
        <v>no</v>
      </c>
      <c r="AO33" s="212" t="str">
        <f>IF(D33="p2",AQ33,"no")</f>
        <v>no</v>
      </c>
      <c r="AP33" s="213"/>
      <c r="AQ33" s="212">
        <f>WEEKDAY(C33)</f>
        <v>2</v>
      </c>
      <c r="AR33" s="214" t="str">
        <f t="shared" si="6"/>
        <v>M</v>
      </c>
      <c r="AS33" s="214" t="str">
        <f t="shared" si="10"/>
        <v>M</v>
      </c>
      <c r="AT33" s="214">
        <f t="shared" si="11"/>
        <v>0.70833333333333348</v>
      </c>
      <c r="AU33" s="214" t="str">
        <f t="shared" si="12"/>
        <v>M</v>
      </c>
      <c r="AV33" s="214" t="str">
        <f t="shared" si="13"/>
        <v>M</v>
      </c>
      <c r="AW33" s="214">
        <f t="shared" si="14"/>
        <v>0.70833333333333348</v>
      </c>
      <c r="AX33" s="214" t="str">
        <f t="shared" si="15"/>
        <v>M</v>
      </c>
      <c r="AY33" s="215"/>
      <c r="AZ33" s="214">
        <f t="shared" si="8"/>
        <v>0</v>
      </c>
      <c r="BA33" s="214">
        <f t="shared" si="16"/>
        <v>0</v>
      </c>
      <c r="BB33" s="214">
        <f t="shared" si="17"/>
        <v>0</v>
      </c>
      <c r="BC33" s="214">
        <f t="shared" si="18"/>
        <v>0</v>
      </c>
      <c r="BD33" s="214">
        <f t="shared" si="19"/>
        <v>0</v>
      </c>
      <c r="BE33" s="214">
        <f t="shared" si="20"/>
        <v>0</v>
      </c>
      <c r="BF33" s="214">
        <f t="shared" si="21"/>
        <v>0</v>
      </c>
      <c r="BI33" s="217" t="str">
        <f>IF(OR(E33="",F33="",G33=""),"M",1)</f>
        <v>M</v>
      </c>
      <c r="BJ33" s="217" t="str">
        <f>IF(OR(H33="",I33="",J33=""),"M",1)</f>
        <v>M</v>
      </c>
      <c r="BK33" s="217" t="str">
        <f>IF(OR(K33="",L33="",M33=""),"M",1)</f>
        <v>M</v>
      </c>
      <c r="BL33" s="217" t="str">
        <f>IF(OR(N33="",O33="",P33=""),"M",1)</f>
        <v>M</v>
      </c>
      <c r="BM33" s="217" t="str">
        <f>IF(OR(Q33="",R33="",S33=""),"M",1)</f>
        <v>M</v>
      </c>
      <c r="BN33" s="217">
        <f>IF(AND(BI33="M",BJ33="M",BK33="M",BL33="M",BM33="M",D33=""),0,1)</f>
        <v>0</v>
      </c>
      <c r="BO33" s="216"/>
      <c r="BP33" s="216"/>
      <c r="BQ33" s="218"/>
    </row>
    <row r="34" spans="1:69" ht="17.25" customHeight="1">
      <c r="A34" s="296">
        <v>-65</v>
      </c>
      <c r="B34" s="297">
        <f t="shared" si="0"/>
        <v>45860</v>
      </c>
      <c r="C34" s="298">
        <f t="shared" si="1"/>
        <v>45860</v>
      </c>
      <c r="D34" s="242"/>
      <c r="E34" s="46"/>
      <c r="F34" s="47"/>
      <c r="G34" s="48"/>
      <c r="H34" s="46"/>
      <c r="I34" s="47"/>
      <c r="J34" s="48"/>
      <c r="K34" s="46"/>
      <c r="L34" s="47"/>
      <c r="M34" s="48"/>
      <c r="N34" s="46"/>
      <c r="O34" s="47"/>
      <c r="P34" s="48"/>
      <c r="Q34" s="46"/>
      <c r="R34" s="47"/>
      <c r="S34" s="94"/>
      <c r="T34" s="92" t="str">
        <f>IF(BN34=0,"M",IF(D34="p1",AL34,IF(D34="p2",AM34,IF(D34="A",0,((E34*F34)*G34/0.6)+((H34*I34)*J34/0.6)+((K34*L34)*M34/0.6)+((N34*O34)*P34/0.6)+((Q34*R34)*S34/0.6)))))</f>
        <v>M</v>
      </c>
      <c r="U34" s="264" t="str">
        <f t="shared" si="23"/>
        <v>M</v>
      </c>
      <c r="V34" s="91"/>
      <c r="W34" s="127"/>
      <c r="X34" s="208">
        <f t="shared" si="2"/>
        <v>0</v>
      </c>
      <c r="Y34" s="209"/>
      <c r="Z34" s="209"/>
      <c r="AA34" s="209"/>
      <c r="AB34" s="209"/>
      <c r="AC34" s="257"/>
      <c r="AD34" s="261"/>
      <c r="AE34" s="234"/>
      <c r="AF34" s="234"/>
      <c r="AG34" s="234"/>
      <c r="AH34" s="234"/>
      <c r="AI34" s="234"/>
      <c r="AL34" s="212" t="b">
        <f t="shared" si="24"/>
        <v>0</v>
      </c>
      <c r="AM34" s="212" t="b">
        <f t="shared" si="25"/>
        <v>0</v>
      </c>
      <c r="AN34" s="212" t="str">
        <f>IF(D34="p1",AQ34,"no")</f>
        <v>no</v>
      </c>
      <c r="AO34" s="212" t="str">
        <f>IF(D34="p2",AQ34,"no")</f>
        <v>no</v>
      </c>
      <c r="AP34" s="213"/>
      <c r="AQ34" s="212">
        <f>WEEKDAY(C34)</f>
        <v>3</v>
      </c>
      <c r="AR34" s="214" t="str">
        <f t="shared" si="6"/>
        <v>M</v>
      </c>
      <c r="AS34" s="214" t="str">
        <f t="shared" si="10"/>
        <v>M</v>
      </c>
      <c r="AT34" s="214">
        <f t="shared" si="11"/>
        <v>0.70833333333333348</v>
      </c>
      <c r="AU34" s="214" t="str">
        <f t="shared" si="12"/>
        <v>M</v>
      </c>
      <c r="AV34" s="214" t="str">
        <f t="shared" si="13"/>
        <v>M</v>
      </c>
      <c r="AW34" s="214">
        <f t="shared" si="14"/>
        <v>0.70833333333333348</v>
      </c>
      <c r="AX34" s="214" t="str">
        <f t="shared" si="15"/>
        <v>M</v>
      </c>
      <c r="AY34" s="215"/>
      <c r="AZ34" s="214">
        <f t="shared" si="8"/>
        <v>0</v>
      </c>
      <c r="BA34" s="214">
        <f t="shared" si="16"/>
        <v>0</v>
      </c>
      <c r="BB34" s="214">
        <f t="shared" si="17"/>
        <v>0</v>
      </c>
      <c r="BC34" s="214">
        <f t="shared" si="18"/>
        <v>0</v>
      </c>
      <c r="BD34" s="214">
        <f t="shared" si="19"/>
        <v>0</v>
      </c>
      <c r="BE34" s="214">
        <f t="shared" si="20"/>
        <v>0</v>
      </c>
      <c r="BF34" s="214">
        <f t="shared" si="21"/>
        <v>0</v>
      </c>
      <c r="BI34" s="217" t="str">
        <f>IF(OR(E34="",F34="",G34=""),"M",1)</f>
        <v>M</v>
      </c>
      <c r="BJ34" s="217" t="str">
        <f>IF(OR(H34="",I34="",J34=""),"M",1)</f>
        <v>M</v>
      </c>
      <c r="BK34" s="217" t="str">
        <f>IF(OR(K34="",L34="",M34=""),"M",1)</f>
        <v>M</v>
      </c>
      <c r="BL34" s="217" t="str">
        <f>IF(OR(N34="",O34="",P34=""),"M",1)</f>
        <v>M</v>
      </c>
      <c r="BM34" s="217" t="str">
        <f>IF(OR(Q34="",R34="",S34=""),"M",1)</f>
        <v>M</v>
      </c>
      <c r="BN34" s="217">
        <f>IF(AND(BI34="M",BJ34="M",BK34="M",BL34="M",BM34="M",D34=""),0,1)</f>
        <v>0</v>
      </c>
      <c r="BO34" s="216"/>
      <c r="BP34" s="216"/>
      <c r="BQ34" s="218"/>
    </row>
    <row r="35" spans="1:69" ht="17.25" customHeight="1">
      <c r="A35" s="296">
        <v>-64</v>
      </c>
      <c r="B35" s="297">
        <f t="shared" si="0"/>
        <v>45861</v>
      </c>
      <c r="C35" s="298">
        <f t="shared" si="1"/>
        <v>45861</v>
      </c>
      <c r="D35" s="241"/>
      <c r="E35" s="46"/>
      <c r="F35" s="47"/>
      <c r="G35" s="48"/>
      <c r="H35" s="46"/>
      <c r="I35" s="47"/>
      <c r="J35" s="48"/>
      <c r="K35" s="46"/>
      <c r="L35" s="47"/>
      <c r="M35" s="48"/>
      <c r="N35" s="46"/>
      <c r="O35" s="47"/>
      <c r="P35" s="48"/>
      <c r="Q35" s="46"/>
      <c r="R35" s="47"/>
      <c r="S35" s="94"/>
      <c r="T35" s="92" t="str">
        <f>IF(BN35=0,"M",IF(D35="p1",AL35,IF(D35="p2",AM35,IF(D35="A",0,((E35*F35)*G35/0.6)+((H35*I35)*J35/0.6)+((K35*L35)*M35/0.6)+((N35*O35)*P35/0.6)+((Q35*R35)*S35/0.6)))))</f>
        <v>M</v>
      </c>
      <c r="U35" s="264" t="str">
        <f t="shared" si="23"/>
        <v>M</v>
      </c>
      <c r="V35" s="91"/>
      <c r="W35" s="127"/>
      <c r="X35" s="208">
        <f t="shared" si="2"/>
        <v>0</v>
      </c>
      <c r="Y35" s="209"/>
      <c r="Z35" s="209"/>
      <c r="AA35" s="209"/>
      <c r="AB35" s="209"/>
      <c r="AC35" s="257"/>
      <c r="AD35" s="261"/>
      <c r="AE35" s="234"/>
      <c r="AF35" s="234"/>
      <c r="AG35" s="234"/>
      <c r="AH35" s="234"/>
      <c r="AI35" s="234"/>
      <c r="AL35" s="212" t="b">
        <f t="shared" si="24"/>
        <v>0</v>
      </c>
      <c r="AM35" s="212" t="b">
        <f t="shared" si="25"/>
        <v>0</v>
      </c>
      <c r="AN35" s="212" t="str">
        <f>IF(D35="p1",AQ35,"no")</f>
        <v>no</v>
      </c>
      <c r="AO35" s="212" t="str">
        <f>IF(D35="p2",AQ35,"no")</f>
        <v>no</v>
      </c>
      <c r="AP35" s="213"/>
      <c r="AQ35" s="212">
        <f>WEEKDAY(C35)</f>
        <v>4</v>
      </c>
      <c r="AR35" s="214" t="str">
        <f t="shared" si="6"/>
        <v>M</v>
      </c>
      <c r="AS35" s="214" t="str">
        <f t="shared" si="10"/>
        <v>M</v>
      </c>
      <c r="AT35" s="214">
        <f t="shared" si="11"/>
        <v>0.70833333333333348</v>
      </c>
      <c r="AU35" s="214" t="str">
        <f t="shared" si="12"/>
        <v>M</v>
      </c>
      <c r="AV35" s="214" t="str">
        <f t="shared" si="13"/>
        <v>M</v>
      </c>
      <c r="AW35" s="214">
        <f t="shared" si="14"/>
        <v>0.70833333333333348</v>
      </c>
      <c r="AX35" s="214" t="str">
        <f t="shared" si="15"/>
        <v>M</v>
      </c>
      <c r="AY35" s="215"/>
      <c r="AZ35" s="214">
        <f t="shared" si="8"/>
        <v>0</v>
      </c>
      <c r="BA35" s="214">
        <f t="shared" si="16"/>
        <v>0</v>
      </c>
      <c r="BB35" s="214">
        <f t="shared" si="17"/>
        <v>0</v>
      </c>
      <c r="BC35" s="214">
        <f t="shared" si="18"/>
        <v>0</v>
      </c>
      <c r="BD35" s="214">
        <f t="shared" si="19"/>
        <v>0</v>
      </c>
      <c r="BE35" s="214">
        <f t="shared" si="20"/>
        <v>0</v>
      </c>
      <c r="BF35" s="214">
        <f t="shared" si="21"/>
        <v>0</v>
      </c>
      <c r="BI35" s="217" t="str">
        <f>IF(OR(E35="",F35="",G35=""),"M",1)</f>
        <v>M</v>
      </c>
      <c r="BJ35" s="217" t="str">
        <f>IF(OR(H35="",I35="",J35=""),"M",1)</f>
        <v>M</v>
      </c>
      <c r="BK35" s="217" t="str">
        <f>IF(OR(K35="",L35="",M35=""),"M",1)</f>
        <v>M</v>
      </c>
      <c r="BL35" s="217" t="str">
        <f>IF(OR(N35="",O35="",P35=""),"M",1)</f>
        <v>M</v>
      </c>
      <c r="BM35" s="217" t="str">
        <f>IF(OR(Q35="",R35="",S35=""),"M",1)</f>
        <v>M</v>
      </c>
      <c r="BN35" s="217">
        <f>IF(AND(BI35="M",BJ35="M",BK35="M",BL35="M",BM35="M",D35=""),0,1)</f>
        <v>0</v>
      </c>
      <c r="BO35" s="216"/>
      <c r="BP35" s="216"/>
      <c r="BQ35" s="218"/>
    </row>
    <row r="36" spans="1:69" ht="17.25" customHeight="1">
      <c r="A36" s="296">
        <v>-63</v>
      </c>
      <c r="B36" s="297">
        <f t="shared" si="0"/>
        <v>45862</v>
      </c>
      <c r="C36" s="298">
        <f t="shared" si="1"/>
        <v>45862</v>
      </c>
      <c r="D36" s="242"/>
      <c r="E36" s="46"/>
      <c r="F36" s="47"/>
      <c r="G36" s="48"/>
      <c r="H36" s="46"/>
      <c r="I36" s="47"/>
      <c r="J36" s="48"/>
      <c r="K36" s="46"/>
      <c r="L36" s="47"/>
      <c r="M36" s="48"/>
      <c r="N36" s="46"/>
      <c r="O36" s="47"/>
      <c r="P36" s="48"/>
      <c r="Q36" s="46"/>
      <c r="R36" s="47"/>
      <c r="S36" s="94"/>
      <c r="T36" s="92" t="str">
        <f>IF(BN36=0,"M",IF(D36="p1",AL36,IF(D36="p2",AM36,IF(D36="A",0,((E36*F36)*G36/0.6)+((H36*I36)*J36/0.6)+((K36*L36)*M36/0.6)+((N36*O36)*P36/0.6)+((Q36*R36)*S36/0.6)))))</f>
        <v>M</v>
      </c>
      <c r="U36" s="264" t="str">
        <f t="shared" si="23"/>
        <v>M</v>
      </c>
      <c r="V36" s="91"/>
      <c r="W36" s="127"/>
      <c r="X36" s="208">
        <f t="shared" si="2"/>
        <v>0</v>
      </c>
      <c r="Y36" s="209"/>
      <c r="Z36" s="209"/>
      <c r="AA36" s="209"/>
      <c r="AB36" s="209"/>
      <c r="AC36" s="257"/>
      <c r="AD36" s="261"/>
      <c r="AE36" s="234"/>
      <c r="AF36" s="234"/>
      <c r="AG36" s="234"/>
      <c r="AH36" s="234"/>
      <c r="AI36" s="234"/>
      <c r="AL36" s="212" t="b">
        <f t="shared" si="24"/>
        <v>0</v>
      </c>
      <c r="AM36" s="212" t="b">
        <f t="shared" si="25"/>
        <v>0</v>
      </c>
      <c r="AN36" s="212" t="str">
        <f>IF(D36="p1",AQ36,"no")</f>
        <v>no</v>
      </c>
      <c r="AO36" s="212" t="str">
        <f>IF(D36="p2",AQ36,"no")</f>
        <v>no</v>
      </c>
      <c r="AP36" s="213"/>
      <c r="AQ36" s="212">
        <f>WEEKDAY(C36)</f>
        <v>5</v>
      </c>
      <c r="AR36" s="214" t="str">
        <f t="shared" si="6"/>
        <v>M</v>
      </c>
      <c r="AS36" s="214" t="str">
        <f t="shared" si="10"/>
        <v>M</v>
      </c>
      <c r="AT36" s="214">
        <f t="shared" si="11"/>
        <v>0.70833333333333348</v>
      </c>
      <c r="AU36" s="214" t="str">
        <f t="shared" si="12"/>
        <v>M</v>
      </c>
      <c r="AV36" s="214" t="str">
        <f t="shared" si="13"/>
        <v>M</v>
      </c>
      <c r="AW36" s="214">
        <f t="shared" si="14"/>
        <v>0.70833333333333348</v>
      </c>
      <c r="AX36" s="214" t="str">
        <f t="shared" si="15"/>
        <v>M</v>
      </c>
      <c r="AY36" s="215"/>
      <c r="AZ36" s="214">
        <f t="shared" si="8"/>
        <v>0</v>
      </c>
      <c r="BA36" s="214">
        <f t="shared" si="16"/>
        <v>0</v>
      </c>
      <c r="BB36" s="214">
        <f t="shared" si="17"/>
        <v>0</v>
      </c>
      <c r="BC36" s="214">
        <f t="shared" si="18"/>
        <v>0</v>
      </c>
      <c r="BD36" s="214">
        <f t="shared" si="19"/>
        <v>0</v>
      </c>
      <c r="BE36" s="214">
        <f t="shared" si="20"/>
        <v>0</v>
      </c>
      <c r="BF36" s="214">
        <f t="shared" si="21"/>
        <v>0</v>
      </c>
      <c r="BI36" s="217" t="str">
        <f>IF(OR(E36="",F36="",G36=""),"M",1)</f>
        <v>M</v>
      </c>
      <c r="BJ36" s="217" t="str">
        <f>IF(OR(H36="",I36="",J36=""),"M",1)</f>
        <v>M</v>
      </c>
      <c r="BK36" s="217" t="str">
        <f>IF(OR(K36="",L36="",M36=""),"M",1)</f>
        <v>M</v>
      </c>
      <c r="BL36" s="217" t="str">
        <f>IF(OR(N36="",O36="",P36=""),"M",1)</f>
        <v>M</v>
      </c>
      <c r="BM36" s="217" t="str">
        <f>IF(OR(Q36="",R36="",S36=""),"M",1)</f>
        <v>M</v>
      </c>
      <c r="BN36" s="217">
        <f>IF(AND(BI36="M",BJ36="M",BK36="M",BL36="M",BM36="M",D36=""),0,1)</f>
        <v>0</v>
      </c>
      <c r="BO36" s="216"/>
      <c r="BP36" s="216"/>
      <c r="BQ36" s="218"/>
    </row>
    <row r="37" spans="1:69" ht="17.25" customHeight="1">
      <c r="A37" s="296">
        <v>-62</v>
      </c>
      <c r="B37" s="297">
        <f t="shared" si="0"/>
        <v>45863</v>
      </c>
      <c r="C37" s="298">
        <f t="shared" si="1"/>
        <v>45863</v>
      </c>
      <c r="D37" s="241"/>
      <c r="E37" s="46"/>
      <c r="F37" s="47"/>
      <c r="G37" s="48"/>
      <c r="H37" s="46"/>
      <c r="I37" s="47"/>
      <c r="J37" s="48"/>
      <c r="K37" s="46"/>
      <c r="L37" s="47"/>
      <c r="M37" s="48"/>
      <c r="N37" s="46"/>
      <c r="O37" s="47"/>
      <c r="P37" s="48"/>
      <c r="Q37" s="46"/>
      <c r="R37" s="47"/>
      <c r="S37" s="94"/>
      <c r="T37" s="92" t="str">
        <f>IF(BN37=0,"M",IF(D37="p1",AL37,IF(D37="p2",AM37,IF(D37="A",0,((E37*F37)*G37/0.6)+((H37*I37)*J37/0.6)+((K37*L37)*M37/0.6)+((N37*O37)*P37/0.6)+((Q37*R37)*S37/0.6)))))</f>
        <v>M</v>
      </c>
      <c r="U37" s="264" t="str">
        <f t="shared" si="23"/>
        <v>M</v>
      </c>
      <c r="V37" s="91"/>
      <c r="W37" s="127"/>
      <c r="X37" s="208">
        <f t="shared" si="2"/>
        <v>0</v>
      </c>
      <c r="Y37" s="209"/>
      <c r="Z37" s="209"/>
      <c r="AA37" s="209"/>
      <c r="AB37" s="209"/>
      <c r="AC37" s="257"/>
      <c r="AD37" s="261"/>
      <c r="AE37" s="234"/>
      <c r="AF37" s="234"/>
      <c r="AG37" s="234"/>
      <c r="AH37" s="234"/>
      <c r="AI37" s="234"/>
      <c r="AL37" s="212" t="b">
        <f t="shared" si="24"/>
        <v>0</v>
      </c>
      <c r="AM37" s="212" t="b">
        <f t="shared" si="25"/>
        <v>0</v>
      </c>
      <c r="AN37" s="212" t="str">
        <f>IF(D37="p1",AQ37,"no")</f>
        <v>no</v>
      </c>
      <c r="AO37" s="212" t="str">
        <f>IF(D37="p2",AQ37,"no")</f>
        <v>no</v>
      </c>
      <c r="AP37" s="213"/>
      <c r="AQ37" s="212">
        <f>WEEKDAY(C37)</f>
        <v>6</v>
      </c>
      <c r="AR37" s="214" t="str">
        <f t="shared" si="6"/>
        <v>M</v>
      </c>
      <c r="AS37" s="214" t="str">
        <f t="shared" si="10"/>
        <v>M</v>
      </c>
      <c r="AT37" s="214">
        <f t="shared" si="11"/>
        <v>0.70833333333333348</v>
      </c>
      <c r="AU37" s="214" t="str">
        <f t="shared" si="12"/>
        <v>M</v>
      </c>
      <c r="AV37" s="214" t="str">
        <f t="shared" si="13"/>
        <v>M</v>
      </c>
      <c r="AW37" s="214">
        <f t="shared" si="14"/>
        <v>0.70833333333333348</v>
      </c>
      <c r="AX37" s="214" t="str">
        <f t="shared" si="15"/>
        <v>M</v>
      </c>
      <c r="AY37" s="215"/>
      <c r="AZ37" s="214">
        <f t="shared" si="8"/>
        <v>0</v>
      </c>
      <c r="BA37" s="214">
        <f t="shared" si="16"/>
        <v>0</v>
      </c>
      <c r="BB37" s="214">
        <f t="shared" si="17"/>
        <v>0</v>
      </c>
      <c r="BC37" s="214">
        <f t="shared" si="18"/>
        <v>0</v>
      </c>
      <c r="BD37" s="214">
        <f t="shared" si="19"/>
        <v>0</v>
      </c>
      <c r="BE37" s="214">
        <f t="shared" si="20"/>
        <v>0</v>
      </c>
      <c r="BF37" s="214">
        <f t="shared" si="21"/>
        <v>0</v>
      </c>
      <c r="BI37" s="217" t="str">
        <f>IF(OR(E37="",F37="",G37=""),"M",1)</f>
        <v>M</v>
      </c>
      <c r="BJ37" s="217" t="str">
        <f>IF(OR(H37="",I37="",J37=""),"M",1)</f>
        <v>M</v>
      </c>
      <c r="BK37" s="217" t="str">
        <f>IF(OR(K37="",L37="",M37=""),"M",1)</f>
        <v>M</v>
      </c>
      <c r="BL37" s="217" t="str">
        <f>IF(OR(N37="",O37="",P37=""),"M",1)</f>
        <v>M</v>
      </c>
      <c r="BM37" s="217" t="str">
        <f>IF(OR(Q37="",R37="",S37=""),"M",1)</f>
        <v>M</v>
      </c>
      <c r="BN37" s="217">
        <f>IF(AND(BI37="M",BJ37="M",BK37="M",BL37="M",BM37="M",D37=""),0,1)</f>
        <v>0</v>
      </c>
      <c r="BO37" s="216"/>
      <c r="BP37" s="216"/>
      <c r="BQ37" s="218"/>
    </row>
    <row r="38" spans="1:69" ht="17.25" customHeight="1">
      <c r="A38" s="296">
        <v>-61</v>
      </c>
      <c r="B38" s="297">
        <f t="shared" si="0"/>
        <v>45864</v>
      </c>
      <c r="C38" s="298">
        <f t="shared" si="1"/>
        <v>45864</v>
      </c>
      <c r="D38" s="242"/>
      <c r="E38" s="46"/>
      <c r="F38" s="47"/>
      <c r="G38" s="48"/>
      <c r="H38" s="46"/>
      <c r="I38" s="47"/>
      <c r="J38" s="48"/>
      <c r="K38" s="46"/>
      <c r="L38" s="47"/>
      <c r="M38" s="48"/>
      <c r="N38" s="46"/>
      <c r="O38" s="47"/>
      <c r="P38" s="48"/>
      <c r="Q38" s="46"/>
      <c r="R38" s="47"/>
      <c r="S38" s="94"/>
      <c r="T38" s="92" t="str">
        <f>IF(BN38=0,"M",IF(D38="p1",AL38,IF(D38="p2",AM38,IF(D38="A",0,((E38*F38)*G38/0.6)+((H38*I38)*J38/0.6)+((K38*L38)*M38/0.6)+((N38*O38)*P38/0.6)+((Q38*R38)*S38/0.6)))))</f>
        <v>M</v>
      </c>
      <c r="U38" s="264" t="str">
        <f t="shared" si="23"/>
        <v>M</v>
      </c>
      <c r="V38" s="91"/>
      <c r="W38" s="127"/>
      <c r="X38" s="208">
        <f t="shared" si="2"/>
        <v>0</v>
      </c>
      <c r="Y38" s="209"/>
      <c r="Z38" s="209"/>
      <c r="AA38" s="209"/>
      <c r="AB38" s="209"/>
      <c r="AC38" s="257"/>
      <c r="AD38" s="261"/>
      <c r="AE38" s="234"/>
      <c r="AF38" s="234"/>
      <c r="AG38" s="234"/>
      <c r="AH38" s="234"/>
      <c r="AI38" s="234"/>
      <c r="AL38" s="212" t="b">
        <f t="shared" si="24"/>
        <v>0</v>
      </c>
      <c r="AM38" s="212" t="b">
        <f t="shared" si="25"/>
        <v>0</v>
      </c>
      <c r="AN38" s="212" t="str">
        <f>IF(D38="p1",AQ38,"no")</f>
        <v>no</v>
      </c>
      <c r="AO38" s="212" t="str">
        <f>IF(D38="p2",AQ38,"no")</f>
        <v>no</v>
      </c>
      <c r="AP38" s="213"/>
      <c r="AQ38" s="212">
        <f>WEEKDAY(C38)</f>
        <v>7</v>
      </c>
      <c r="AR38" s="214" t="str">
        <f t="shared" si="6"/>
        <v>M</v>
      </c>
      <c r="AS38" s="214" t="str">
        <f t="shared" si="10"/>
        <v>M</v>
      </c>
      <c r="AT38" s="214">
        <f t="shared" si="11"/>
        <v>0.70833333333333348</v>
      </c>
      <c r="AU38" s="214" t="str">
        <f t="shared" si="12"/>
        <v>M</v>
      </c>
      <c r="AV38" s="214" t="str">
        <f t="shared" si="13"/>
        <v>M</v>
      </c>
      <c r="AW38" s="214">
        <f t="shared" si="14"/>
        <v>0.70833333333333348</v>
      </c>
      <c r="AX38" s="214" t="str">
        <f t="shared" si="15"/>
        <v>M</v>
      </c>
      <c r="AY38" s="215"/>
      <c r="AZ38" s="214">
        <f t="shared" si="8"/>
        <v>0</v>
      </c>
      <c r="BA38" s="214">
        <f t="shared" si="16"/>
        <v>0</v>
      </c>
      <c r="BB38" s="214">
        <f t="shared" si="17"/>
        <v>0</v>
      </c>
      <c r="BC38" s="214">
        <f t="shared" si="18"/>
        <v>0</v>
      </c>
      <c r="BD38" s="214">
        <f t="shared" si="19"/>
        <v>0</v>
      </c>
      <c r="BE38" s="214">
        <f t="shared" si="20"/>
        <v>0</v>
      </c>
      <c r="BF38" s="214">
        <f t="shared" si="21"/>
        <v>0</v>
      </c>
      <c r="BI38" s="217" t="str">
        <f>IF(OR(E38="",F38="",G38=""),"M",1)</f>
        <v>M</v>
      </c>
      <c r="BJ38" s="217" t="str">
        <f>IF(OR(H38="",I38="",J38=""),"M",1)</f>
        <v>M</v>
      </c>
      <c r="BK38" s="217" t="str">
        <f>IF(OR(K38="",L38="",M38=""),"M",1)</f>
        <v>M</v>
      </c>
      <c r="BL38" s="217" t="str">
        <f>IF(OR(N38="",O38="",P38=""),"M",1)</f>
        <v>M</v>
      </c>
      <c r="BM38" s="217" t="str">
        <f>IF(OR(Q38="",R38="",S38=""),"M",1)</f>
        <v>M</v>
      </c>
      <c r="BN38" s="217">
        <f>IF(AND(BI38="M",BJ38="M",BK38="M",BL38="M",BM38="M",D38=""),0,1)</f>
        <v>0</v>
      </c>
      <c r="BO38" s="216"/>
      <c r="BP38" s="216"/>
      <c r="BQ38" s="218"/>
    </row>
    <row r="39" spans="1:69" ht="17.25" customHeight="1">
      <c r="A39" s="296">
        <v>-60</v>
      </c>
      <c r="B39" s="297">
        <f t="shared" si="0"/>
        <v>45865</v>
      </c>
      <c r="C39" s="298">
        <f t="shared" si="1"/>
        <v>45865</v>
      </c>
      <c r="D39" s="241"/>
      <c r="E39" s="46"/>
      <c r="F39" s="47"/>
      <c r="G39" s="48"/>
      <c r="H39" s="46"/>
      <c r="I39" s="47"/>
      <c r="J39" s="48"/>
      <c r="K39" s="46"/>
      <c r="L39" s="47"/>
      <c r="M39" s="48"/>
      <c r="N39" s="46"/>
      <c r="O39" s="47"/>
      <c r="P39" s="48"/>
      <c r="Q39" s="46"/>
      <c r="R39" s="47"/>
      <c r="S39" s="94"/>
      <c r="T39" s="92" t="str">
        <f>IF(BN39=0,"M",IF(D39="p1",AL39,IF(D39="p2",AM39,IF(D39="A",0,((E39*F39)*G39/0.6)+((H39*I39)*J39/0.6)+((K39*L39)*M39/0.6)+((N39*O39)*P39/0.6)+((Q39*R39)*S39/0.6)))))</f>
        <v>M</v>
      </c>
      <c r="U39" s="264" t="str">
        <f t="shared" si="23"/>
        <v>M</v>
      </c>
      <c r="V39" s="91"/>
      <c r="W39" s="127"/>
      <c r="X39" s="208">
        <f t="shared" si="2"/>
        <v>0</v>
      </c>
      <c r="Y39" s="209"/>
      <c r="Z39" s="209"/>
      <c r="AA39" s="209"/>
      <c r="AB39" s="209"/>
      <c r="AC39" s="257"/>
      <c r="AD39" s="261"/>
      <c r="AE39" s="234"/>
      <c r="AF39" s="234"/>
      <c r="AG39" s="234"/>
      <c r="AH39" s="234"/>
      <c r="AI39" s="234"/>
      <c r="AL39" s="212" t="b">
        <f t="shared" si="24"/>
        <v>0</v>
      </c>
      <c r="AM39" s="212" t="b">
        <f t="shared" si="25"/>
        <v>0</v>
      </c>
      <c r="AN39" s="212" t="str">
        <f>IF(D39="p1",AQ39,"no")</f>
        <v>no</v>
      </c>
      <c r="AO39" s="212" t="str">
        <f>IF(D39="p2",AQ39,"no")</f>
        <v>no</v>
      </c>
      <c r="AP39" s="213"/>
      <c r="AQ39" s="212">
        <f>WEEKDAY(C39)</f>
        <v>1</v>
      </c>
      <c r="AR39" s="214" t="str">
        <f t="shared" si="6"/>
        <v>M</v>
      </c>
      <c r="AS39" s="214" t="str">
        <f t="shared" si="10"/>
        <v>M</v>
      </c>
      <c r="AT39" s="214">
        <f t="shared" si="11"/>
        <v>0.70833333333333348</v>
      </c>
      <c r="AU39" s="214" t="str">
        <f t="shared" si="12"/>
        <v>M</v>
      </c>
      <c r="AV39" s="214" t="str">
        <f t="shared" si="13"/>
        <v>M</v>
      </c>
      <c r="AW39" s="214">
        <f t="shared" si="14"/>
        <v>0.70833333333333348</v>
      </c>
      <c r="AX39" s="214" t="str">
        <f t="shared" si="15"/>
        <v>M</v>
      </c>
      <c r="AY39" s="215"/>
      <c r="AZ39" s="214">
        <f t="shared" si="8"/>
        <v>0</v>
      </c>
      <c r="BA39" s="214">
        <f t="shared" si="16"/>
        <v>0</v>
      </c>
      <c r="BB39" s="214">
        <f t="shared" si="17"/>
        <v>0</v>
      </c>
      <c r="BC39" s="214">
        <f t="shared" si="18"/>
        <v>0</v>
      </c>
      <c r="BD39" s="214">
        <f t="shared" si="19"/>
        <v>0</v>
      </c>
      <c r="BE39" s="214">
        <f t="shared" si="20"/>
        <v>0</v>
      </c>
      <c r="BF39" s="214">
        <f t="shared" si="21"/>
        <v>0</v>
      </c>
      <c r="BI39" s="217" t="str">
        <f>IF(OR(E39="",F39="",G39=""),"M",1)</f>
        <v>M</v>
      </c>
      <c r="BJ39" s="217" t="str">
        <f>IF(OR(H39="",I39="",J39=""),"M",1)</f>
        <v>M</v>
      </c>
      <c r="BK39" s="217" t="str">
        <f>IF(OR(K39="",L39="",M39=""),"M",1)</f>
        <v>M</v>
      </c>
      <c r="BL39" s="217" t="str">
        <f>IF(OR(N39="",O39="",P39=""),"M",1)</f>
        <v>M</v>
      </c>
      <c r="BM39" s="217" t="str">
        <f>IF(OR(Q39="",R39="",S39=""),"M",1)</f>
        <v>M</v>
      </c>
      <c r="BN39" s="217">
        <f>IF(AND(BI39="M",BJ39="M",BK39="M",BL39="M",BM39="M",D39=""),0,1)</f>
        <v>0</v>
      </c>
      <c r="BO39" s="216"/>
      <c r="BP39" s="216"/>
      <c r="BQ39" s="218"/>
    </row>
    <row r="40" spans="1:69" ht="17.25" customHeight="1">
      <c r="A40" s="296">
        <v>-59</v>
      </c>
      <c r="B40" s="297">
        <f t="shared" si="0"/>
        <v>45866</v>
      </c>
      <c r="C40" s="298">
        <f t="shared" si="1"/>
        <v>45866</v>
      </c>
      <c r="D40" s="242"/>
      <c r="E40" s="46"/>
      <c r="F40" s="47"/>
      <c r="G40" s="48"/>
      <c r="H40" s="46"/>
      <c r="I40" s="47"/>
      <c r="J40" s="48"/>
      <c r="K40" s="46"/>
      <c r="L40" s="47"/>
      <c r="M40" s="48"/>
      <c r="N40" s="46"/>
      <c r="O40" s="47"/>
      <c r="P40" s="48"/>
      <c r="Q40" s="46"/>
      <c r="R40" s="47"/>
      <c r="S40" s="94"/>
      <c r="T40" s="92" t="str">
        <f>IF(BN40=0,"M",IF(D40="p1",AL40,IF(D40="p2",AM40,IF(D40="A",0,((E40*F40)*G40/0.6)+((H40*I40)*J40/0.6)+((K40*L40)*M40/0.6)+((N40*O40)*P40/0.6)+((Q40*R40)*S40/0.6)))))</f>
        <v>M</v>
      </c>
      <c r="U40" s="264" t="str">
        <f t="shared" si="23"/>
        <v>M</v>
      </c>
      <c r="V40" s="91"/>
      <c r="W40" s="127"/>
      <c r="X40" s="208">
        <f t="shared" si="2"/>
        <v>0</v>
      </c>
      <c r="Y40" s="209"/>
      <c r="Z40" s="209"/>
      <c r="AA40" s="209"/>
      <c r="AB40" s="209"/>
      <c r="AC40" s="257"/>
      <c r="AD40" s="261"/>
      <c r="AE40" s="234"/>
      <c r="AF40" s="234"/>
      <c r="AG40" s="234"/>
      <c r="AH40" s="234"/>
      <c r="AI40" s="234"/>
      <c r="AL40" s="212" t="b">
        <f t="shared" si="24"/>
        <v>0</v>
      </c>
      <c r="AM40" s="212" t="b">
        <f t="shared" si="25"/>
        <v>0</v>
      </c>
      <c r="AN40" s="212" t="str">
        <f>IF(D40="p1",AQ40,"no")</f>
        <v>no</v>
      </c>
      <c r="AO40" s="212" t="str">
        <f>IF(D40="p2",AQ40,"no")</f>
        <v>no</v>
      </c>
      <c r="AP40" s="213"/>
      <c r="AQ40" s="212">
        <f>WEEKDAY(C40)</f>
        <v>2</v>
      </c>
      <c r="AR40" s="214" t="str">
        <f t="shared" si="6"/>
        <v>M</v>
      </c>
      <c r="AS40" s="214" t="str">
        <f t="shared" si="10"/>
        <v>M</v>
      </c>
      <c r="AT40" s="214">
        <f t="shared" si="11"/>
        <v>0.70833333333333348</v>
      </c>
      <c r="AU40" s="214" t="str">
        <f t="shared" si="12"/>
        <v>M</v>
      </c>
      <c r="AV40" s="214" t="str">
        <f t="shared" si="13"/>
        <v>M</v>
      </c>
      <c r="AW40" s="214">
        <f t="shared" si="14"/>
        <v>0.70833333333333348</v>
      </c>
      <c r="AX40" s="214" t="str">
        <f t="shared" si="15"/>
        <v>M</v>
      </c>
      <c r="AY40" s="215"/>
      <c r="AZ40" s="214">
        <f t="shared" si="8"/>
        <v>0</v>
      </c>
      <c r="BA40" s="214">
        <f t="shared" si="16"/>
        <v>0</v>
      </c>
      <c r="BB40" s="214">
        <f t="shared" si="17"/>
        <v>0</v>
      </c>
      <c r="BC40" s="214">
        <f t="shared" si="18"/>
        <v>0</v>
      </c>
      <c r="BD40" s="214">
        <f t="shared" si="19"/>
        <v>0</v>
      </c>
      <c r="BE40" s="214">
        <f t="shared" si="20"/>
        <v>0</v>
      </c>
      <c r="BF40" s="214">
        <f t="shared" si="21"/>
        <v>0</v>
      </c>
      <c r="BI40" s="217" t="str">
        <f>IF(OR(E40="",F40="",G40=""),"M",1)</f>
        <v>M</v>
      </c>
      <c r="BJ40" s="217" t="str">
        <f>IF(OR(H40="",I40="",J40=""),"M",1)</f>
        <v>M</v>
      </c>
      <c r="BK40" s="217" t="str">
        <f>IF(OR(K40="",L40="",M40=""),"M",1)</f>
        <v>M</v>
      </c>
      <c r="BL40" s="217" t="str">
        <f>IF(OR(N40="",O40="",P40=""),"M",1)</f>
        <v>M</v>
      </c>
      <c r="BM40" s="217" t="str">
        <f>IF(OR(Q40="",R40="",S40=""),"M",1)</f>
        <v>M</v>
      </c>
      <c r="BN40" s="217">
        <f>IF(AND(BI40="M",BJ40="M",BK40="M",BL40="M",BM40="M",D40=""),0,1)</f>
        <v>0</v>
      </c>
      <c r="BO40" s="216"/>
      <c r="BP40" s="216"/>
      <c r="BQ40" s="218"/>
    </row>
    <row r="41" spans="1:69" ht="17.25" customHeight="1">
      <c r="A41" s="296">
        <v>-58</v>
      </c>
      <c r="B41" s="297">
        <f t="shared" si="0"/>
        <v>45867</v>
      </c>
      <c r="C41" s="298">
        <f t="shared" si="1"/>
        <v>45867</v>
      </c>
      <c r="D41" s="241"/>
      <c r="E41" s="46"/>
      <c r="F41" s="47"/>
      <c r="G41" s="48"/>
      <c r="H41" s="46"/>
      <c r="I41" s="47"/>
      <c r="J41" s="48"/>
      <c r="K41" s="46"/>
      <c r="L41" s="47"/>
      <c r="M41" s="48"/>
      <c r="N41" s="46"/>
      <c r="O41" s="47"/>
      <c r="P41" s="48"/>
      <c r="Q41" s="46"/>
      <c r="R41" s="47"/>
      <c r="S41" s="94"/>
      <c r="T41" s="92" t="str">
        <f>IF(BN41=0,"M",IF(D41="p1",AL41,IF(D41="p2",AM41,IF(D41="A",0,((E41*F41)*G41/0.6)+((H41*I41)*J41/0.6)+((K41*L41)*M41/0.6)+((N41*O41)*P41/0.6)+((Q41*R41)*S41/0.6)))))</f>
        <v>M</v>
      </c>
      <c r="U41" s="264" t="str">
        <f t="shared" si="23"/>
        <v>M</v>
      </c>
      <c r="V41" s="91"/>
      <c r="W41" s="127"/>
      <c r="X41" s="208">
        <f t="shared" si="2"/>
        <v>0</v>
      </c>
      <c r="Y41" s="209"/>
      <c r="Z41" s="209"/>
      <c r="AA41" s="209"/>
      <c r="AB41" s="209"/>
      <c r="AC41" s="257"/>
      <c r="AD41" s="261"/>
      <c r="AE41" s="234"/>
      <c r="AF41" s="234"/>
      <c r="AG41" s="234"/>
      <c r="AH41" s="234"/>
      <c r="AI41" s="234"/>
      <c r="AL41" s="212" t="b">
        <f t="shared" si="24"/>
        <v>0</v>
      </c>
      <c r="AM41" s="212" t="b">
        <f t="shared" si="25"/>
        <v>0</v>
      </c>
      <c r="AN41" s="212" t="str">
        <f>IF(D41="p1",AQ41,"no")</f>
        <v>no</v>
      </c>
      <c r="AO41" s="212" t="str">
        <f>IF(D41="p2",AQ41,"no")</f>
        <v>no</v>
      </c>
      <c r="AP41" s="213"/>
      <c r="AQ41" s="212">
        <f>WEEKDAY(C41)</f>
        <v>3</v>
      </c>
      <c r="AR41" s="214" t="str">
        <f t="shared" si="6"/>
        <v>M</v>
      </c>
      <c r="AS41" s="214" t="str">
        <f t="shared" si="10"/>
        <v>M</v>
      </c>
      <c r="AT41" s="214">
        <f t="shared" si="11"/>
        <v>0.70833333333333348</v>
      </c>
      <c r="AU41" s="214" t="str">
        <f t="shared" si="12"/>
        <v>M</v>
      </c>
      <c r="AV41" s="214" t="str">
        <f t="shared" si="13"/>
        <v>M</v>
      </c>
      <c r="AW41" s="214">
        <f t="shared" si="14"/>
        <v>0.70833333333333348</v>
      </c>
      <c r="AX41" s="214" t="str">
        <f t="shared" si="15"/>
        <v>M</v>
      </c>
      <c r="AY41" s="215"/>
      <c r="AZ41" s="214">
        <f t="shared" si="8"/>
        <v>0</v>
      </c>
      <c r="BA41" s="214">
        <f t="shared" si="16"/>
        <v>0</v>
      </c>
      <c r="BB41" s="214">
        <f t="shared" si="17"/>
        <v>0</v>
      </c>
      <c r="BC41" s="214">
        <f t="shared" si="18"/>
        <v>0</v>
      </c>
      <c r="BD41" s="214">
        <f t="shared" si="19"/>
        <v>0</v>
      </c>
      <c r="BE41" s="214">
        <f t="shared" si="20"/>
        <v>0</v>
      </c>
      <c r="BF41" s="214">
        <f t="shared" si="21"/>
        <v>0</v>
      </c>
      <c r="BI41" s="217" t="str">
        <f>IF(OR(E41="",F41="",G41=""),"M",1)</f>
        <v>M</v>
      </c>
      <c r="BJ41" s="217" t="str">
        <f>IF(OR(H41="",I41="",J41=""),"M",1)</f>
        <v>M</v>
      </c>
      <c r="BK41" s="217" t="str">
        <f>IF(OR(K41="",L41="",M41=""),"M",1)</f>
        <v>M</v>
      </c>
      <c r="BL41" s="217" t="str">
        <f>IF(OR(N41="",O41="",P41=""),"M",1)</f>
        <v>M</v>
      </c>
      <c r="BM41" s="217" t="str">
        <f>IF(OR(Q41="",R41="",S41=""),"M",1)</f>
        <v>M</v>
      </c>
      <c r="BN41" s="217">
        <f>IF(AND(BI41="M",BJ41="M",BK41="M",BL41="M",BM41="M",D41=""),0,1)</f>
        <v>0</v>
      </c>
      <c r="BO41" s="216"/>
      <c r="BP41" s="216"/>
      <c r="BQ41" s="218"/>
    </row>
    <row r="42" spans="1:69" ht="17.25" customHeight="1">
      <c r="A42" s="296">
        <v>-57</v>
      </c>
      <c r="B42" s="297">
        <f t="shared" si="0"/>
        <v>45868</v>
      </c>
      <c r="C42" s="298">
        <f t="shared" si="1"/>
        <v>45868</v>
      </c>
      <c r="D42" s="242"/>
      <c r="E42" s="46"/>
      <c r="F42" s="47"/>
      <c r="G42" s="48"/>
      <c r="H42" s="46"/>
      <c r="I42" s="47"/>
      <c r="J42" s="48"/>
      <c r="K42" s="46"/>
      <c r="L42" s="47"/>
      <c r="M42" s="48"/>
      <c r="N42" s="46"/>
      <c r="O42" s="47"/>
      <c r="P42" s="48"/>
      <c r="Q42" s="46"/>
      <c r="R42" s="47"/>
      <c r="S42" s="94"/>
      <c r="T42" s="92" t="str">
        <f>IF(BN42=0,"M",IF(D42="p1",AL42,IF(D42="p2",AM42,IF(D42="A",0,((E42*F42)*G42/0.6)+((H42*I42)*J42/0.6)+((K42*L42)*M42/0.6)+((N42*O42)*P42/0.6)+((Q42*R42)*S42/0.6)))))</f>
        <v>M</v>
      </c>
      <c r="U42" s="264" t="str">
        <f t="shared" si="23"/>
        <v>M</v>
      </c>
      <c r="V42" s="91"/>
      <c r="W42" s="127"/>
      <c r="X42" s="208">
        <f t="shared" si="2"/>
        <v>0</v>
      </c>
      <c r="Y42" s="209"/>
      <c r="Z42" s="209"/>
      <c r="AA42" s="209"/>
      <c r="AB42" s="209"/>
      <c r="AC42" s="257"/>
      <c r="AD42" s="261"/>
      <c r="AE42" s="234"/>
      <c r="AF42" s="234"/>
      <c r="AG42" s="234"/>
      <c r="AH42" s="234"/>
      <c r="AI42" s="234"/>
      <c r="AL42" s="212" t="b">
        <f t="shared" si="24"/>
        <v>0</v>
      </c>
      <c r="AM42" s="212" t="b">
        <f t="shared" si="25"/>
        <v>0</v>
      </c>
      <c r="AN42" s="212" t="str">
        <f>IF(D42="p1",AQ42,"no")</f>
        <v>no</v>
      </c>
      <c r="AO42" s="212" t="str">
        <f>IF(D42="p2",AQ42,"no")</f>
        <v>no</v>
      </c>
      <c r="AP42" s="213"/>
      <c r="AQ42" s="212">
        <f>WEEKDAY(C42)</f>
        <v>4</v>
      </c>
      <c r="AR42" s="214" t="str">
        <f t="shared" si="6"/>
        <v>M</v>
      </c>
      <c r="AS42" s="214" t="str">
        <f t="shared" si="10"/>
        <v>M</v>
      </c>
      <c r="AT42" s="214">
        <f t="shared" si="11"/>
        <v>0.70833333333333348</v>
      </c>
      <c r="AU42" s="214" t="str">
        <f t="shared" si="12"/>
        <v>M</v>
      </c>
      <c r="AV42" s="214" t="str">
        <f t="shared" si="13"/>
        <v>M</v>
      </c>
      <c r="AW42" s="214">
        <f t="shared" si="14"/>
        <v>0.70833333333333348</v>
      </c>
      <c r="AX42" s="214" t="str">
        <f t="shared" si="15"/>
        <v>M</v>
      </c>
      <c r="AY42" s="215"/>
      <c r="AZ42" s="214">
        <f t="shared" si="8"/>
        <v>0</v>
      </c>
      <c r="BA42" s="214">
        <f t="shared" si="16"/>
        <v>0</v>
      </c>
      <c r="BB42" s="214">
        <f t="shared" si="17"/>
        <v>0</v>
      </c>
      <c r="BC42" s="214">
        <f t="shared" si="18"/>
        <v>0</v>
      </c>
      <c r="BD42" s="214">
        <f t="shared" si="19"/>
        <v>0</v>
      </c>
      <c r="BE42" s="214">
        <f t="shared" si="20"/>
        <v>0</v>
      </c>
      <c r="BF42" s="214">
        <f t="shared" si="21"/>
        <v>0</v>
      </c>
      <c r="BI42" s="217" t="str">
        <f>IF(OR(E42="",F42="",G42=""),"M",1)</f>
        <v>M</v>
      </c>
      <c r="BJ42" s="217" t="str">
        <f>IF(OR(H42="",I42="",J42=""),"M",1)</f>
        <v>M</v>
      </c>
      <c r="BK42" s="217" t="str">
        <f>IF(OR(K42="",L42="",M42=""),"M",1)</f>
        <v>M</v>
      </c>
      <c r="BL42" s="217" t="str">
        <f>IF(OR(N42="",O42="",P42=""),"M",1)</f>
        <v>M</v>
      </c>
      <c r="BM42" s="217" t="str">
        <f>IF(OR(Q42="",R42="",S42=""),"M",1)</f>
        <v>M</v>
      </c>
      <c r="BN42" s="217">
        <f>IF(AND(BI42="M",BJ42="M",BK42="M",BL42="M",BM42="M",D42=""),0,1)</f>
        <v>0</v>
      </c>
      <c r="BO42" s="216"/>
      <c r="BP42" s="216"/>
      <c r="BQ42" s="218"/>
    </row>
    <row r="43" spans="1:69" ht="17.25" customHeight="1">
      <c r="A43" s="296">
        <v>-56</v>
      </c>
      <c r="B43" s="297">
        <f t="shared" si="0"/>
        <v>45869</v>
      </c>
      <c r="C43" s="298">
        <f t="shared" si="1"/>
        <v>45869</v>
      </c>
      <c r="D43" s="241"/>
      <c r="E43" s="46"/>
      <c r="F43" s="47"/>
      <c r="G43" s="48"/>
      <c r="H43" s="46"/>
      <c r="I43" s="47"/>
      <c r="J43" s="48"/>
      <c r="K43" s="46"/>
      <c r="L43" s="47"/>
      <c r="M43" s="48"/>
      <c r="N43" s="46"/>
      <c r="O43" s="47"/>
      <c r="P43" s="48"/>
      <c r="Q43" s="46"/>
      <c r="R43" s="47"/>
      <c r="S43" s="94"/>
      <c r="T43" s="92" t="str">
        <f>IF(BN43=0,"M",IF(D43="p1",AL43,IF(D43="p2",AM43,IF(D43="A",0,((E43*F43)*G43/0.6)+((H43*I43)*J43/0.6)+((K43*L43)*M43/0.6)+((N43*O43)*P43/0.6)+((Q43*R43)*S43/0.6)))))</f>
        <v>M</v>
      </c>
      <c r="U43" s="264" t="str">
        <f t="shared" si="23"/>
        <v>M</v>
      </c>
      <c r="V43" s="91"/>
      <c r="W43" s="127"/>
      <c r="X43" s="208">
        <f t="shared" si="2"/>
        <v>0</v>
      </c>
      <c r="Y43" s="209"/>
      <c r="Z43" s="209"/>
      <c r="AA43" s="209"/>
      <c r="AB43" s="209"/>
      <c r="AC43" s="257"/>
      <c r="AD43" s="261"/>
      <c r="AE43" s="234"/>
      <c r="AF43" s="234"/>
      <c r="AG43" s="234"/>
      <c r="AH43" s="234"/>
      <c r="AI43" s="234"/>
      <c r="AL43" s="212" t="b">
        <f t="shared" si="24"/>
        <v>0</v>
      </c>
      <c r="AM43" s="212" t="b">
        <f t="shared" si="25"/>
        <v>0</v>
      </c>
      <c r="AN43" s="212" t="str">
        <f>IF(D43="p1",AQ43,"no")</f>
        <v>no</v>
      </c>
      <c r="AO43" s="212" t="str">
        <f>IF(D43="p2",AQ43,"no")</f>
        <v>no</v>
      </c>
      <c r="AP43" s="213"/>
      <c r="AQ43" s="212">
        <f>WEEKDAY(C43)</f>
        <v>5</v>
      </c>
      <c r="AR43" s="214" t="str">
        <f t="shared" si="6"/>
        <v>M</v>
      </c>
      <c r="AS43" s="214" t="str">
        <f t="shared" si="10"/>
        <v>M</v>
      </c>
      <c r="AT43" s="214">
        <f t="shared" si="11"/>
        <v>0.70833333333333348</v>
      </c>
      <c r="AU43" s="214" t="str">
        <f t="shared" si="12"/>
        <v>M</v>
      </c>
      <c r="AV43" s="214" t="str">
        <f t="shared" si="13"/>
        <v>M</v>
      </c>
      <c r="AW43" s="214">
        <f t="shared" si="14"/>
        <v>0.70833333333333348</v>
      </c>
      <c r="AX43" s="214" t="str">
        <f t="shared" si="15"/>
        <v>M</v>
      </c>
      <c r="AY43" s="215"/>
      <c r="AZ43" s="214">
        <f t="shared" si="8"/>
        <v>0</v>
      </c>
      <c r="BA43" s="214">
        <f t="shared" si="16"/>
        <v>0</v>
      </c>
      <c r="BB43" s="214">
        <f t="shared" si="17"/>
        <v>0</v>
      </c>
      <c r="BC43" s="214">
        <f t="shared" si="18"/>
        <v>0</v>
      </c>
      <c r="BD43" s="214">
        <f t="shared" si="19"/>
        <v>0</v>
      </c>
      <c r="BE43" s="214">
        <f t="shared" si="20"/>
        <v>0</v>
      </c>
      <c r="BF43" s="214">
        <f t="shared" si="21"/>
        <v>0</v>
      </c>
      <c r="BI43" s="217" t="str">
        <f>IF(OR(E43="",F43="",G43=""),"M",1)</f>
        <v>M</v>
      </c>
      <c r="BJ43" s="217" t="str">
        <f>IF(OR(H43="",I43="",J43=""),"M",1)</f>
        <v>M</v>
      </c>
      <c r="BK43" s="217" t="str">
        <f>IF(OR(K43="",L43="",M43=""),"M",1)</f>
        <v>M</v>
      </c>
      <c r="BL43" s="217" t="str">
        <f>IF(OR(N43="",O43="",P43=""),"M",1)</f>
        <v>M</v>
      </c>
      <c r="BM43" s="217" t="str">
        <f>IF(OR(Q43="",R43="",S43=""),"M",1)</f>
        <v>M</v>
      </c>
      <c r="BN43" s="217">
        <f>IF(AND(BI43="M",BJ43="M",BK43="M",BL43="M",BM43="M",D43=""),0,1)</f>
        <v>0</v>
      </c>
      <c r="BO43" s="216"/>
      <c r="BP43" s="216"/>
      <c r="BQ43" s="218"/>
    </row>
    <row r="44" spans="1:69" ht="17.25" customHeight="1">
      <c r="A44" s="296">
        <v>-55</v>
      </c>
      <c r="B44" s="297">
        <f t="shared" si="0"/>
        <v>45870</v>
      </c>
      <c r="C44" s="298">
        <f t="shared" si="1"/>
        <v>45870</v>
      </c>
      <c r="D44" s="242"/>
      <c r="E44" s="46"/>
      <c r="F44" s="47"/>
      <c r="G44" s="48"/>
      <c r="H44" s="46"/>
      <c r="I44" s="47"/>
      <c r="J44" s="48"/>
      <c r="K44" s="46"/>
      <c r="L44" s="47"/>
      <c r="M44" s="48"/>
      <c r="N44" s="46"/>
      <c r="O44" s="47"/>
      <c r="P44" s="48"/>
      <c r="Q44" s="46"/>
      <c r="R44" s="47"/>
      <c r="S44" s="94"/>
      <c r="T44" s="92" t="str">
        <f>IF(BN44=0,"M",IF(D44="p1",AL44,IF(D44="p2",AM44,IF(D44="A",0,((E44*F44)*G44/0.6)+((H44*I44)*J44/0.6)+((K44*L44)*M44/0.6)+((N44*O44)*P44/0.6)+((Q44*R44)*S44/0.6)))))</f>
        <v>M</v>
      </c>
      <c r="U44" s="264" t="str">
        <f t="shared" si="23"/>
        <v>M</v>
      </c>
      <c r="V44" s="91"/>
      <c r="W44" s="127"/>
      <c r="X44" s="208">
        <f t="shared" si="2"/>
        <v>0</v>
      </c>
      <c r="Y44" s="209"/>
      <c r="Z44" s="209"/>
      <c r="AA44" s="209"/>
      <c r="AB44" s="209"/>
      <c r="AC44" s="257"/>
      <c r="AD44" s="261"/>
      <c r="AE44" s="234"/>
      <c r="AF44" s="234"/>
      <c r="AG44" s="234"/>
      <c r="AH44" s="234"/>
      <c r="AI44" s="234"/>
      <c r="AL44" s="212" t="b">
        <f t="shared" si="24"/>
        <v>0</v>
      </c>
      <c r="AM44" s="212" t="b">
        <f t="shared" si="25"/>
        <v>0</v>
      </c>
      <c r="AN44" s="212" t="str">
        <f>IF(D44="p1",AQ44,"no")</f>
        <v>no</v>
      </c>
      <c r="AO44" s="212" t="str">
        <f>IF(D44="p2",AQ44,"no")</f>
        <v>no</v>
      </c>
      <c r="AP44" s="213"/>
      <c r="AQ44" s="212">
        <f>WEEKDAY(C44)</f>
        <v>6</v>
      </c>
      <c r="AR44" s="214" t="str">
        <f t="shared" si="6"/>
        <v>M</v>
      </c>
      <c r="AS44" s="214" t="str">
        <f t="shared" si="10"/>
        <v>M</v>
      </c>
      <c r="AT44" s="214">
        <f t="shared" si="11"/>
        <v>0.70833333333333348</v>
      </c>
      <c r="AU44" s="214" t="str">
        <f t="shared" si="12"/>
        <v>M</v>
      </c>
      <c r="AV44" s="214" t="str">
        <f t="shared" si="13"/>
        <v>M</v>
      </c>
      <c r="AW44" s="214">
        <f t="shared" si="14"/>
        <v>0.70833333333333348</v>
      </c>
      <c r="AX44" s="214" t="str">
        <f t="shared" si="15"/>
        <v>M</v>
      </c>
      <c r="AY44" s="215"/>
      <c r="AZ44" s="214">
        <f t="shared" si="8"/>
        <v>0</v>
      </c>
      <c r="BA44" s="214">
        <f t="shared" si="16"/>
        <v>0</v>
      </c>
      <c r="BB44" s="214">
        <f t="shared" si="17"/>
        <v>0</v>
      </c>
      <c r="BC44" s="214">
        <f t="shared" si="18"/>
        <v>0</v>
      </c>
      <c r="BD44" s="214">
        <f t="shared" si="19"/>
        <v>0</v>
      </c>
      <c r="BE44" s="214">
        <f t="shared" si="20"/>
        <v>0</v>
      </c>
      <c r="BF44" s="214">
        <f t="shared" si="21"/>
        <v>0</v>
      </c>
      <c r="BI44" s="217" t="str">
        <f>IF(OR(E44="",F44="",G44=""),"M",1)</f>
        <v>M</v>
      </c>
      <c r="BJ44" s="217" t="str">
        <f>IF(OR(H44="",I44="",J44=""),"M",1)</f>
        <v>M</v>
      </c>
      <c r="BK44" s="217" t="str">
        <f>IF(OR(K44="",L44="",M44=""),"M",1)</f>
        <v>M</v>
      </c>
      <c r="BL44" s="217" t="str">
        <f>IF(OR(N44="",O44="",P44=""),"M",1)</f>
        <v>M</v>
      </c>
      <c r="BM44" s="217" t="str">
        <f>IF(OR(Q44="",R44="",S44=""),"M",1)</f>
        <v>M</v>
      </c>
      <c r="BN44" s="217">
        <f>IF(AND(BI44="M",BJ44="M",BK44="M",BL44="M",BM44="M",D44=""),0,1)</f>
        <v>0</v>
      </c>
      <c r="BO44" s="216"/>
      <c r="BP44" s="216"/>
      <c r="BQ44" s="218"/>
    </row>
    <row r="45" spans="1:69" ht="17.25" customHeight="1">
      <c r="A45" s="296">
        <v>-54</v>
      </c>
      <c r="B45" s="297">
        <f t="shared" si="0"/>
        <v>45871</v>
      </c>
      <c r="C45" s="298">
        <f t="shared" si="1"/>
        <v>45871</v>
      </c>
      <c r="D45" s="241"/>
      <c r="E45" s="46"/>
      <c r="F45" s="47"/>
      <c r="G45" s="48"/>
      <c r="H45" s="46"/>
      <c r="I45" s="47"/>
      <c r="J45" s="48"/>
      <c r="K45" s="46"/>
      <c r="L45" s="47"/>
      <c r="M45" s="48"/>
      <c r="N45" s="46"/>
      <c r="O45" s="47"/>
      <c r="P45" s="48"/>
      <c r="Q45" s="46"/>
      <c r="R45" s="47"/>
      <c r="S45" s="94"/>
      <c r="T45" s="92" t="str">
        <f>IF(BN45=0,"M",IF(D45="p1",AL45,IF(D45="p2",AM45,IF(D45="A",0,((E45*F45)*G45/0.6)+((H45*I45)*J45/0.6)+((K45*L45)*M45/0.6)+((N45*O45)*P45/0.6)+((Q45*R45)*S45/0.6)))))</f>
        <v>M</v>
      </c>
      <c r="U45" s="264" t="str">
        <f t="shared" si="23"/>
        <v>M</v>
      </c>
      <c r="V45" s="91"/>
      <c r="W45" s="127"/>
      <c r="X45" s="208">
        <f t="shared" si="2"/>
        <v>0</v>
      </c>
      <c r="Y45" s="209"/>
      <c r="Z45" s="209"/>
      <c r="AA45" s="209"/>
      <c r="AB45" s="209"/>
      <c r="AC45" s="257"/>
      <c r="AD45" s="261"/>
      <c r="AE45" s="234"/>
      <c r="AF45" s="234"/>
      <c r="AG45" s="234"/>
      <c r="AH45" s="234"/>
      <c r="AI45" s="234"/>
      <c r="AL45" s="212" t="b">
        <f t="shared" si="24"/>
        <v>0</v>
      </c>
      <c r="AM45" s="212" t="b">
        <f t="shared" si="25"/>
        <v>0</v>
      </c>
      <c r="AN45" s="212" t="str">
        <f>IF(D45="p1",AQ45,"no")</f>
        <v>no</v>
      </c>
      <c r="AO45" s="212" t="str">
        <f>IF(D45="p2",AQ45,"no")</f>
        <v>no</v>
      </c>
      <c r="AP45" s="213"/>
      <c r="AQ45" s="212">
        <f>WEEKDAY(C45)</f>
        <v>7</v>
      </c>
      <c r="AR45" s="214" t="str">
        <f t="shared" si="6"/>
        <v>M</v>
      </c>
      <c r="AS45" s="214" t="str">
        <f t="shared" si="10"/>
        <v>M</v>
      </c>
      <c r="AT45" s="214">
        <f t="shared" si="11"/>
        <v>0.70833333333333348</v>
      </c>
      <c r="AU45" s="214" t="str">
        <f t="shared" si="12"/>
        <v>M</v>
      </c>
      <c r="AV45" s="214" t="str">
        <f t="shared" si="13"/>
        <v>M</v>
      </c>
      <c r="AW45" s="214">
        <f t="shared" si="14"/>
        <v>0.70833333333333348</v>
      </c>
      <c r="AX45" s="214" t="str">
        <f t="shared" si="15"/>
        <v>M</v>
      </c>
      <c r="AY45" s="215"/>
      <c r="AZ45" s="214">
        <f t="shared" si="8"/>
        <v>0</v>
      </c>
      <c r="BA45" s="214">
        <f t="shared" si="16"/>
        <v>0</v>
      </c>
      <c r="BB45" s="214">
        <f t="shared" si="17"/>
        <v>0</v>
      </c>
      <c r="BC45" s="214">
        <f t="shared" si="18"/>
        <v>0</v>
      </c>
      <c r="BD45" s="214">
        <f t="shared" si="19"/>
        <v>0</v>
      </c>
      <c r="BE45" s="214">
        <f t="shared" si="20"/>
        <v>0</v>
      </c>
      <c r="BF45" s="214">
        <f t="shared" si="21"/>
        <v>0</v>
      </c>
      <c r="BI45" s="217" t="str">
        <f>IF(OR(E45="",F45="",G45=""),"M",1)</f>
        <v>M</v>
      </c>
      <c r="BJ45" s="217" t="str">
        <f>IF(OR(H45="",I45="",J45=""),"M",1)</f>
        <v>M</v>
      </c>
      <c r="BK45" s="217" t="str">
        <f>IF(OR(K45="",L45="",M45=""),"M",1)</f>
        <v>M</v>
      </c>
      <c r="BL45" s="217" t="str">
        <f>IF(OR(N45="",O45="",P45=""),"M",1)</f>
        <v>M</v>
      </c>
      <c r="BM45" s="217" t="str">
        <f>IF(OR(Q45="",R45="",S45=""),"M",1)</f>
        <v>M</v>
      </c>
      <c r="BN45" s="217">
        <f>IF(AND(BI45="M",BJ45="M",BK45="M",BL45="M",BM45="M",D45=""),0,1)</f>
        <v>0</v>
      </c>
      <c r="BO45" s="216"/>
      <c r="BP45" s="216"/>
      <c r="BQ45" s="218"/>
    </row>
    <row r="46" spans="1:69" ht="17.25" customHeight="1">
      <c r="A46" s="296">
        <v>-53</v>
      </c>
      <c r="B46" s="297">
        <f t="shared" si="0"/>
        <v>45872</v>
      </c>
      <c r="C46" s="298">
        <f t="shared" si="1"/>
        <v>45872</v>
      </c>
      <c r="D46" s="242"/>
      <c r="E46" s="46"/>
      <c r="F46" s="47"/>
      <c r="G46" s="48"/>
      <c r="H46" s="46"/>
      <c r="I46" s="47"/>
      <c r="J46" s="48"/>
      <c r="K46" s="46"/>
      <c r="L46" s="47"/>
      <c r="M46" s="48"/>
      <c r="N46" s="46"/>
      <c r="O46" s="47"/>
      <c r="P46" s="48"/>
      <c r="Q46" s="46"/>
      <c r="R46" s="47"/>
      <c r="S46" s="94"/>
      <c r="T46" s="92" t="str">
        <f>IF(BN46=0,"M",IF(D46="p1",AL46,IF(D46="p2",AM46,IF(D46="A",0,((E46*F46)*G46/0.6)+((H46*I46)*J46/0.6)+((K46*L46)*M46/0.6)+((N46*O46)*P46/0.6)+((Q46*R46)*S46/0.6)))))</f>
        <v>M</v>
      </c>
      <c r="U46" s="264" t="str">
        <f t="shared" si="23"/>
        <v>M</v>
      </c>
      <c r="V46" s="91"/>
      <c r="W46" s="127"/>
      <c r="X46" s="208">
        <f t="shared" si="2"/>
        <v>0</v>
      </c>
      <c r="Y46" s="209"/>
      <c r="Z46" s="209"/>
      <c r="AA46" s="209"/>
      <c r="AB46" s="209"/>
      <c r="AC46" s="257"/>
      <c r="AD46" s="261"/>
      <c r="AE46" s="234"/>
      <c r="AF46" s="234"/>
      <c r="AG46" s="234"/>
      <c r="AH46" s="234"/>
      <c r="AI46" s="234"/>
      <c r="AL46" s="212" t="b">
        <f t="shared" si="24"/>
        <v>0</v>
      </c>
      <c r="AM46" s="212" t="b">
        <f t="shared" si="25"/>
        <v>0</v>
      </c>
      <c r="AN46" s="212" t="str">
        <f>IF(D46="p1",AQ46,"no")</f>
        <v>no</v>
      </c>
      <c r="AO46" s="212" t="str">
        <f>IF(D46="p2",AQ46,"no")</f>
        <v>no</v>
      </c>
      <c r="AP46" s="213"/>
      <c r="AQ46" s="212">
        <f>WEEKDAY(C46)</f>
        <v>1</v>
      </c>
      <c r="AR46" s="214" t="str">
        <f t="shared" si="6"/>
        <v>M</v>
      </c>
      <c r="AS46" s="214" t="str">
        <f t="shared" si="10"/>
        <v>M</v>
      </c>
      <c r="AT46" s="214">
        <f t="shared" si="11"/>
        <v>0.70833333333333348</v>
      </c>
      <c r="AU46" s="214" t="str">
        <f t="shared" si="12"/>
        <v>M</v>
      </c>
      <c r="AV46" s="214" t="str">
        <f t="shared" si="13"/>
        <v>M</v>
      </c>
      <c r="AW46" s="214">
        <f t="shared" si="14"/>
        <v>0.70833333333333348</v>
      </c>
      <c r="AX46" s="214" t="str">
        <f t="shared" si="15"/>
        <v>M</v>
      </c>
      <c r="AY46" s="215"/>
      <c r="AZ46" s="214">
        <f t="shared" si="8"/>
        <v>0</v>
      </c>
      <c r="BA46" s="214">
        <f t="shared" si="16"/>
        <v>0</v>
      </c>
      <c r="BB46" s="214">
        <f t="shared" si="17"/>
        <v>0</v>
      </c>
      <c r="BC46" s="214">
        <f t="shared" si="18"/>
        <v>0</v>
      </c>
      <c r="BD46" s="214">
        <f t="shared" si="19"/>
        <v>0</v>
      </c>
      <c r="BE46" s="214">
        <f t="shared" si="20"/>
        <v>0</v>
      </c>
      <c r="BF46" s="214">
        <f t="shared" si="21"/>
        <v>0</v>
      </c>
      <c r="BI46" s="217" t="str">
        <f>IF(OR(E46="",F46="",G46=""),"M",1)</f>
        <v>M</v>
      </c>
      <c r="BJ46" s="217" t="str">
        <f>IF(OR(H46="",I46="",J46=""),"M",1)</f>
        <v>M</v>
      </c>
      <c r="BK46" s="217" t="str">
        <f>IF(OR(K46="",L46="",M46=""),"M",1)</f>
        <v>M</v>
      </c>
      <c r="BL46" s="217" t="str">
        <f>IF(OR(N46="",O46="",P46=""),"M",1)</f>
        <v>M</v>
      </c>
      <c r="BM46" s="217" t="str">
        <f>IF(OR(Q46="",R46="",S46=""),"M",1)</f>
        <v>M</v>
      </c>
      <c r="BN46" s="217">
        <f>IF(AND(BI46="M",BJ46="M",BK46="M",BL46="M",BM46="M",D46=""),0,1)</f>
        <v>0</v>
      </c>
      <c r="BO46" s="216"/>
      <c r="BP46" s="216"/>
      <c r="BQ46" s="218"/>
    </row>
    <row r="47" spans="1:69" ht="17.25" customHeight="1">
      <c r="A47" s="296">
        <v>-52</v>
      </c>
      <c r="B47" s="297">
        <f t="shared" si="0"/>
        <v>45873</v>
      </c>
      <c r="C47" s="298">
        <f t="shared" si="1"/>
        <v>45873</v>
      </c>
      <c r="D47" s="241"/>
      <c r="E47" s="46"/>
      <c r="F47" s="47"/>
      <c r="G47" s="48"/>
      <c r="H47" s="46"/>
      <c r="I47" s="47"/>
      <c r="J47" s="48"/>
      <c r="K47" s="46"/>
      <c r="L47" s="47"/>
      <c r="M47" s="48"/>
      <c r="N47" s="46"/>
      <c r="O47" s="47"/>
      <c r="P47" s="48"/>
      <c r="Q47" s="46"/>
      <c r="R47" s="47"/>
      <c r="S47" s="94"/>
      <c r="T47" s="92" t="str">
        <f>IF(BN47=0,"M",IF(D47="p1",AL47,IF(D47="p2",AM47,IF(D47="A",0,((E47*F47)*G47/0.6)+((H47*I47)*J47/0.6)+((K47*L47)*M47/0.6)+((N47*O47)*P47/0.6)+((Q47*R47)*S47/0.6)))))</f>
        <v>M</v>
      </c>
      <c r="U47" s="264" t="str">
        <f t="shared" si="23"/>
        <v>M</v>
      </c>
      <c r="V47" s="91"/>
      <c r="W47" s="127"/>
      <c r="X47" s="208">
        <f t="shared" si="2"/>
        <v>0</v>
      </c>
      <c r="Y47" s="209"/>
      <c r="Z47" s="209"/>
      <c r="AA47" s="209"/>
      <c r="AB47" s="209"/>
      <c r="AC47" s="257"/>
      <c r="AD47" s="261"/>
      <c r="AE47" s="234"/>
      <c r="AF47" s="234"/>
      <c r="AG47" s="234"/>
      <c r="AH47" s="234"/>
      <c r="AI47" s="234"/>
      <c r="AL47" s="212" t="b">
        <f t="shared" si="24"/>
        <v>0</v>
      </c>
      <c r="AM47" s="212" t="b">
        <f t="shared" si="25"/>
        <v>0</v>
      </c>
      <c r="AN47" s="212" t="str">
        <f>IF(D47="p1",AQ47,"no")</f>
        <v>no</v>
      </c>
      <c r="AO47" s="212" t="str">
        <f>IF(D47="p2",AQ47,"no")</f>
        <v>no</v>
      </c>
      <c r="AP47" s="213"/>
      <c r="AQ47" s="212">
        <f>WEEKDAY(C47)</f>
        <v>2</v>
      </c>
      <c r="AR47" s="214" t="str">
        <f t="shared" si="6"/>
        <v>M</v>
      </c>
      <c r="AS47" s="214" t="str">
        <f t="shared" si="10"/>
        <v>M</v>
      </c>
      <c r="AT47" s="214">
        <f t="shared" si="11"/>
        <v>0.70833333333333348</v>
      </c>
      <c r="AU47" s="214" t="str">
        <f t="shared" si="12"/>
        <v>M</v>
      </c>
      <c r="AV47" s="214" t="str">
        <f t="shared" si="13"/>
        <v>M</v>
      </c>
      <c r="AW47" s="214">
        <f t="shared" si="14"/>
        <v>0.70833333333333348</v>
      </c>
      <c r="AX47" s="214" t="str">
        <f t="shared" si="15"/>
        <v>M</v>
      </c>
      <c r="AY47" s="215"/>
      <c r="AZ47" s="214">
        <f t="shared" si="8"/>
        <v>0</v>
      </c>
      <c r="BA47" s="214">
        <f t="shared" si="16"/>
        <v>0</v>
      </c>
      <c r="BB47" s="214">
        <f t="shared" si="17"/>
        <v>0</v>
      </c>
      <c r="BC47" s="214">
        <f t="shared" si="18"/>
        <v>0</v>
      </c>
      <c r="BD47" s="214">
        <f t="shared" si="19"/>
        <v>0</v>
      </c>
      <c r="BE47" s="214">
        <f t="shared" si="20"/>
        <v>0</v>
      </c>
      <c r="BF47" s="214">
        <f t="shared" si="21"/>
        <v>0</v>
      </c>
      <c r="BI47" s="217" t="str">
        <f>IF(OR(E47="",F47="",G47=""),"M",1)</f>
        <v>M</v>
      </c>
      <c r="BJ47" s="217" t="str">
        <f>IF(OR(H47="",I47="",J47=""),"M",1)</f>
        <v>M</v>
      </c>
      <c r="BK47" s="217" t="str">
        <f>IF(OR(K47="",L47="",M47=""),"M",1)</f>
        <v>M</v>
      </c>
      <c r="BL47" s="217" t="str">
        <f>IF(OR(N47="",O47="",P47=""),"M",1)</f>
        <v>M</v>
      </c>
      <c r="BM47" s="217" t="str">
        <f>IF(OR(Q47="",R47="",S47=""),"M",1)</f>
        <v>M</v>
      </c>
      <c r="BN47" s="217">
        <f>IF(AND(BI47="M",BJ47="M",BK47="M",BL47="M",BM47="M",D47=""),0,1)</f>
        <v>0</v>
      </c>
      <c r="BO47" s="216"/>
      <c r="BP47" s="216"/>
      <c r="BQ47" s="218"/>
    </row>
    <row r="48" spans="1:69" ht="17.25" customHeight="1">
      <c r="A48" s="296">
        <v>-51</v>
      </c>
      <c r="B48" s="297">
        <f t="shared" si="0"/>
        <v>45874</v>
      </c>
      <c r="C48" s="298">
        <f t="shared" si="1"/>
        <v>45874</v>
      </c>
      <c r="D48" s="242"/>
      <c r="E48" s="46"/>
      <c r="F48" s="47"/>
      <c r="G48" s="48"/>
      <c r="H48" s="46"/>
      <c r="I48" s="47"/>
      <c r="J48" s="48"/>
      <c r="K48" s="46"/>
      <c r="L48" s="47"/>
      <c r="M48" s="48"/>
      <c r="N48" s="46"/>
      <c r="O48" s="47"/>
      <c r="P48" s="48"/>
      <c r="Q48" s="46"/>
      <c r="R48" s="47"/>
      <c r="S48" s="94"/>
      <c r="T48" s="92" t="str">
        <f>IF(BN48=0,"M",IF(D48="p1",AL48,IF(D48="p2",AM48,IF(D48="A",0,((E48*F48)*G48/0.6)+((H48*I48)*J48/0.6)+((K48*L48)*M48/0.6)+((N48*O48)*P48/0.6)+((Q48*R48)*S48/0.6)))))</f>
        <v>M</v>
      </c>
      <c r="U48" s="264" t="str">
        <f t="shared" si="23"/>
        <v>M</v>
      </c>
      <c r="V48" s="91"/>
      <c r="W48" s="127"/>
      <c r="X48" s="208">
        <f t="shared" si="2"/>
        <v>0</v>
      </c>
      <c r="Y48" s="209"/>
      <c r="Z48" s="209"/>
      <c r="AA48" s="209"/>
      <c r="AB48" s="209"/>
      <c r="AC48" s="257"/>
      <c r="AD48" s="261"/>
      <c r="AE48" s="234"/>
      <c r="AF48" s="234"/>
      <c r="AG48" s="234"/>
      <c r="AH48" s="234"/>
      <c r="AI48" s="234"/>
      <c r="AL48" s="212" t="b">
        <f t="shared" si="24"/>
        <v>0</v>
      </c>
      <c r="AM48" s="212" t="b">
        <f t="shared" si="25"/>
        <v>0</v>
      </c>
      <c r="AN48" s="212" t="str">
        <f>IF(D48="p1",AQ48,"no")</f>
        <v>no</v>
      </c>
      <c r="AO48" s="212" t="str">
        <f>IF(D48="p2",AQ48,"no")</f>
        <v>no</v>
      </c>
      <c r="AP48" s="213"/>
      <c r="AQ48" s="212">
        <f>WEEKDAY(C48)</f>
        <v>3</v>
      </c>
      <c r="AR48" s="214" t="str">
        <f t="shared" si="6"/>
        <v>M</v>
      </c>
      <c r="AS48" s="214" t="str">
        <f t="shared" si="10"/>
        <v>M</v>
      </c>
      <c r="AT48" s="214">
        <f t="shared" si="11"/>
        <v>0.70833333333333348</v>
      </c>
      <c r="AU48" s="214" t="str">
        <f t="shared" si="12"/>
        <v>M</v>
      </c>
      <c r="AV48" s="214" t="str">
        <f t="shared" si="13"/>
        <v>M</v>
      </c>
      <c r="AW48" s="214">
        <f t="shared" si="14"/>
        <v>0.70833333333333348</v>
      </c>
      <c r="AX48" s="214" t="str">
        <f t="shared" si="15"/>
        <v>M</v>
      </c>
      <c r="AY48" s="215"/>
      <c r="AZ48" s="214">
        <f t="shared" si="8"/>
        <v>0</v>
      </c>
      <c r="BA48" s="214">
        <f t="shared" si="16"/>
        <v>0</v>
      </c>
      <c r="BB48" s="214">
        <f t="shared" si="17"/>
        <v>0</v>
      </c>
      <c r="BC48" s="214">
        <f t="shared" si="18"/>
        <v>0</v>
      </c>
      <c r="BD48" s="214">
        <f t="shared" si="19"/>
        <v>0</v>
      </c>
      <c r="BE48" s="214">
        <f t="shared" si="20"/>
        <v>0</v>
      </c>
      <c r="BF48" s="214">
        <f t="shared" si="21"/>
        <v>0</v>
      </c>
      <c r="BI48" s="217" t="str">
        <f>IF(OR(E48="",F48="",G48=""),"M",1)</f>
        <v>M</v>
      </c>
      <c r="BJ48" s="217" t="str">
        <f>IF(OR(H48="",I48="",J48=""),"M",1)</f>
        <v>M</v>
      </c>
      <c r="BK48" s="217" t="str">
        <f>IF(OR(K48="",L48="",M48=""),"M",1)</f>
        <v>M</v>
      </c>
      <c r="BL48" s="217" t="str">
        <f>IF(OR(N48="",O48="",P48=""),"M",1)</f>
        <v>M</v>
      </c>
      <c r="BM48" s="217" t="str">
        <f>IF(OR(Q48="",R48="",S48=""),"M",1)</f>
        <v>M</v>
      </c>
      <c r="BN48" s="217">
        <f>IF(AND(BI48="M",BJ48="M",BK48="M",BL48="M",BM48="M",D48=""),0,1)</f>
        <v>0</v>
      </c>
      <c r="BO48" s="216"/>
      <c r="BP48" s="216"/>
      <c r="BQ48" s="218"/>
    </row>
    <row r="49" spans="1:69" ht="17.25" customHeight="1">
      <c r="A49" s="296">
        <v>-50</v>
      </c>
      <c r="B49" s="297">
        <f t="shared" si="0"/>
        <v>45875</v>
      </c>
      <c r="C49" s="298">
        <f t="shared" si="1"/>
        <v>45875</v>
      </c>
      <c r="D49" s="241"/>
      <c r="E49" s="46"/>
      <c r="F49" s="47"/>
      <c r="G49" s="48"/>
      <c r="H49" s="46"/>
      <c r="I49" s="47"/>
      <c r="J49" s="48"/>
      <c r="K49" s="46"/>
      <c r="L49" s="47"/>
      <c r="M49" s="48"/>
      <c r="N49" s="46"/>
      <c r="O49" s="47"/>
      <c r="P49" s="48"/>
      <c r="Q49" s="46"/>
      <c r="R49" s="47"/>
      <c r="S49" s="94"/>
      <c r="T49" s="92" t="str">
        <f>IF(BN49=0,"M",IF(D49="p1",AL49,IF(D49="p2",AM49,IF(D49="A",0,((E49*F49)*G49/0.6)+((H49*I49)*J49/0.6)+((K49*L49)*M49/0.6)+((N49*O49)*P49/0.6)+((Q49*R49)*S49/0.6)))))</f>
        <v>M</v>
      </c>
      <c r="U49" s="264" t="str">
        <f t="shared" si="23"/>
        <v>M</v>
      </c>
      <c r="V49" s="91"/>
      <c r="W49" s="127"/>
      <c r="X49" s="208">
        <f t="shared" si="2"/>
        <v>0</v>
      </c>
      <c r="Y49" s="209"/>
      <c r="Z49" s="209"/>
      <c r="AA49" s="209"/>
      <c r="AB49" s="209"/>
      <c r="AC49" s="257"/>
      <c r="AD49" s="261"/>
      <c r="AE49" s="234"/>
      <c r="AF49" s="234"/>
      <c r="AG49" s="234"/>
      <c r="AH49" s="234"/>
      <c r="AI49" s="234"/>
      <c r="AL49" s="212" t="b">
        <f t="shared" si="24"/>
        <v>0</v>
      </c>
      <c r="AM49" s="212" t="b">
        <f t="shared" si="25"/>
        <v>0</v>
      </c>
      <c r="AN49" s="212" t="str">
        <f>IF(D49="p1",AQ49,"no")</f>
        <v>no</v>
      </c>
      <c r="AO49" s="212" t="str">
        <f>IF(D49="p2",AQ49,"no")</f>
        <v>no</v>
      </c>
      <c r="AP49" s="213"/>
      <c r="AQ49" s="212">
        <f>WEEKDAY(C49)</f>
        <v>4</v>
      </c>
      <c r="AR49" s="214" t="str">
        <f t="shared" si="6"/>
        <v>M</v>
      </c>
      <c r="AS49" s="214" t="str">
        <f t="shared" si="10"/>
        <v>M</v>
      </c>
      <c r="AT49" s="214">
        <f t="shared" si="11"/>
        <v>0.70833333333333348</v>
      </c>
      <c r="AU49" s="214" t="str">
        <f t="shared" si="12"/>
        <v>M</v>
      </c>
      <c r="AV49" s="214" t="str">
        <f t="shared" si="13"/>
        <v>M</v>
      </c>
      <c r="AW49" s="214">
        <f t="shared" si="14"/>
        <v>0.70833333333333348</v>
      </c>
      <c r="AX49" s="214" t="str">
        <f t="shared" si="15"/>
        <v>M</v>
      </c>
      <c r="AY49" s="215"/>
      <c r="AZ49" s="214">
        <f t="shared" si="8"/>
        <v>0</v>
      </c>
      <c r="BA49" s="214">
        <f t="shared" si="16"/>
        <v>0</v>
      </c>
      <c r="BB49" s="214">
        <f t="shared" si="17"/>
        <v>0</v>
      </c>
      <c r="BC49" s="214">
        <f t="shared" si="18"/>
        <v>0</v>
      </c>
      <c r="BD49" s="214">
        <f t="shared" si="19"/>
        <v>0</v>
      </c>
      <c r="BE49" s="214">
        <f t="shared" si="20"/>
        <v>0</v>
      </c>
      <c r="BF49" s="214">
        <f t="shared" si="21"/>
        <v>0</v>
      </c>
      <c r="BI49" s="217" t="str">
        <f>IF(OR(E49="",F49="",G49=""),"M",1)</f>
        <v>M</v>
      </c>
      <c r="BJ49" s="217" t="str">
        <f>IF(OR(H49="",I49="",J49=""),"M",1)</f>
        <v>M</v>
      </c>
      <c r="BK49" s="217" t="str">
        <f>IF(OR(K49="",L49="",M49=""),"M",1)</f>
        <v>M</v>
      </c>
      <c r="BL49" s="217" t="str">
        <f>IF(OR(N49="",O49="",P49=""),"M",1)</f>
        <v>M</v>
      </c>
      <c r="BM49" s="217" t="str">
        <f>IF(OR(Q49="",R49="",S49=""),"M",1)</f>
        <v>M</v>
      </c>
      <c r="BN49" s="217">
        <f>IF(AND(BI49="M",BJ49="M",BK49="M",BL49="M",BM49="M",D49=""),0,1)</f>
        <v>0</v>
      </c>
      <c r="BO49" s="216"/>
      <c r="BP49" s="216"/>
      <c r="BQ49" s="218"/>
    </row>
    <row r="50" spans="1:69" ht="17.25" customHeight="1">
      <c r="A50" s="296">
        <v>-49</v>
      </c>
      <c r="B50" s="297">
        <f t="shared" si="0"/>
        <v>45876</v>
      </c>
      <c r="C50" s="298">
        <f t="shared" si="1"/>
        <v>45876</v>
      </c>
      <c r="D50" s="242"/>
      <c r="E50" s="46"/>
      <c r="F50" s="47"/>
      <c r="G50" s="48"/>
      <c r="H50" s="46"/>
      <c r="I50" s="47"/>
      <c r="J50" s="48"/>
      <c r="K50" s="46"/>
      <c r="L50" s="47"/>
      <c r="M50" s="48"/>
      <c r="N50" s="46"/>
      <c r="O50" s="47"/>
      <c r="P50" s="48"/>
      <c r="Q50" s="46"/>
      <c r="R50" s="47"/>
      <c r="S50" s="94"/>
      <c r="T50" s="92" t="str">
        <f>IF(BN50=0,"M",IF(D50="p1",AL50,IF(D50="p2",AM50,IF(D50="A",0,((E50*F50)*G50/0.6)+((H50*I50)*J50/0.6)+((K50*L50)*M50/0.6)+((N50*O50)*P50/0.6)+((Q50*R50)*S50/0.6)))))</f>
        <v>M</v>
      </c>
      <c r="U50" s="264" t="str">
        <f t="shared" si="23"/>
        <v>M</v>
      </c>
      <c r="V50" s="91"/>
      <c r="W50" s="127"/>
      <c r="X50" s="208">
        <f t="shared" si="2"/>
        <v>0</v>
      </c>
      <c r="Y50" s="209"/>
      <c r="Z50" s="209"/>
      <c r="AA50" s="209"/>
      <c r="AB50" s="209"/>
      <c r="AC50" s="257"/>
      <c r="AD50" s="261"/>
      <c r="AE50" s="234"/>
      <c r="AF50" s="234"/>
      <c r="AG50" s="234"/>
      <c r="AH50" s="234"/>
      <c r="AI50" s="234"/>
      <c r="AL50" s="212" t="b">
        <f t="shared" si="24"/>
        <v>0</v>
      </c>
      <c r="AM50" s="212" t="b">
        <f t="shared" si="25"/>
        <v>0</v>
      </c>
      <c r="AN50" s="212" t="str">
        <f>IF(D50="p1",AQ50,"no")</f>
        <v>no</v>
      </c>
      <c r="AO50" s="212" t="str">
        <f>IF(D50="p2",AQ50,"no")</f>
        <v>no</v>
      </c>
      <c r="AP50" s="213"/>
      <c r="AQ50" s="212">
        <f>WEEKDAY(C50)</f>
        <v>5</v>
      </c>
      <c r="AR50" s="214" t="str">
        <f t="shared" si="6"/>
        <v>M</v>
      </c>
      <c r="AS50" s="214" t="str">
        <f t="shared" si="10"/>
        <v>M</v>
      </c>
      <c r="AT50" s="214">
        <f t="shared" si="11"/>
        <v>0.70833333333333348</v>
      </c>
      <c r="AU50" s="214" t="str">
        <f t="shared" si="12"/>
        <v>M</v>
      </c>
      <c r="AV50" s="214" t="str">
        <f t="shared" si="13"/>
        <v>M</v>
      </c>
      <c r="AW50" s="214">
        <f t="shared" si="14"/>
        <v>0.70833333333333348</v>
      </c>
      <c r="AX50" s="214" t="str">
        <f t="shared" si="15"/>
        <v>M</v>
      </c>
      <c r="AY50" s="215"/>
      <c r="AZ50" s="214">
        <f t="shared" si="8"/>
        <v>0</v>
      </c>
      <c r="BA50" s="214">
        <f t="shared" si="16"/>
        <v>0</v>
      </c>
      <c r="BB50" s="214">
        <f t="shared" si="17"/>
        <v>0</v>
      </c>
      <c r="BC50" s="214">
        <f t="shared" si="18"/>
        <v>0</v>
      </c>
      <c r="BD50" s="214">
        <f t="shared" si="19"/>
        <v>0</v>
      </c>
      <c r="BE50" s="214">
        <f t="shared" si="20"/>
        <v>0</v>
      </c>
      <c r="BF50" s="214">
        <f t="shared" si="21"/>
        <v>0</v>
      </c>
      <c r="BI50" s="217" t="str">
        <f>IF(OR(E50="",F50="",G50=""),"M",1)</f>
        <v>M</v>
      </c>
      <c r="BJ50" s="217" t="str">
        <f>IF(OR(H50="",I50="",J50=""),"M",1)</f>
        <v>M</v>
      </c>
      <c r="BK50" s="217" t="str">
        <f>IF(OR(K50="",L50="",M50=""),"M",1)</f>
        <v>M</v>
      </c>
      <c r="BL50" s="217" t="str">
        <f>IF(OR(N50="",O50="",P50=""),"M",1)</f>
        <v>M</v>
      </c>
      <c r="BM50" s="217" t="str">
        <f>IF(OR(Q50="",R50="",S50=""),"M",1)</f>
        <v>M</v>
      </c>
      <c r="BN50" s="217">
        <f>IF(AND(BI50="M",BJ50="M",BK50="M",BL50="M",BM50="M",D50=""),0,1)</f>
        <v>0</v>
      </c>
      <c r="BO50" s="216"/>
      <c r="BP50" s="216"/>
      <c r="BQ50" s="218"/>
    </row>
    <row r="51" spans="1:69" ht="17.25" customHeight="1">
      <c r="A51" s="296">
        <v>-48</v>
      </c>
      <c r="B51" s="297">
        <f t="shared" si="0"/>
        <v>45877</v>
      </c>
      <c r="C51" s="298">
        <f t="shared" si="1"/>
        <v>45877</v>
      </c>
      <c r="D51" s="241"/>
      <c r="E51" s="46"/>
      <c r="F51" s="47"/>
      <c r="G51" s="48"/>
      <c r="H51" s="46"/>
      <c r="I51" s="47"/>
      <c r="J51" s="48"/>
      <c r="K51" s="46"/>
      <c r="L51" s="47"/>
      <c r="M51" s="48"/>
      <c r="N51" s="46"/>
      <c r="O51" s="47"/>
      <c r="P51" s="48"/>
      <c r="Q51" s="46"/>
      <c r="R51" s="47"/>
      <c r="S51" s="94"/>
      <c r="T51" s="92" t="str">
        <f>IF(BN51=0,"M",IF(D51="p1",AL51,IF(D51="p2",AM51,IF(D51="A",0,((E51*F51)*G51/0.6)+((H51*I51)*J51/0.6)+((K51*L51)*M51/0.6)+((N51*O51)*P51/0.6)+((Q51*R51)*S51/0.6)))))</f>
        <v>M</v>
      </c>
      <c r="U51" s="264" t="str">
        <f t="shared" si="23"/>
        <v>M</v>
      </c>
      <c r="V51" s="91"/>
      <c r="W51" s="127"/>
      <c r="X51" s="208">
        <f t="shared" si="2"/>
        <v>0</v>
      </c>
      <c r="Y51" s="209"/>
      <c r="Z51" s="209"/>
      <c r="AA51" s="209"/>
      <c r="AB51" s="209"/>
      <c r="AC51" s="257"/>
      <c r="AD51" s="261"/>
      <c r="AE51" s="234"/>
      <c r="AF51" s="234"/>
      <c r="AG51" s="234"/>
      <c r="AH51" s="234"/>
      <c r="AI51" s="234"/>
      <c r="AL51" s="212" t="b">
        <f t="shared" si="24"/>
        <v>0</v>
      </c>
      <c r="AM51" s="212" t="b">
        <f t="shared" si="25"/>
        <v>0</v>
      </c>
      <c r="AN51" s="212" t="str">
        <f>IF(D51="p1",AQ51,"no")</f>
        <v>no</v>
      </c>
      <c r="AO51" s="212" t="str">
        <f>IF(D51="p2",AQ51,"no")</f>
        <v>no</v>
      </c>
      <c r="AP51" s="213"/>
      <c r="AQ51" s="212">
        <f>WEEKDAY(C51)</f>
        <v>6</v>
      </c>
      <c r="AR51" s="214" t="str">
        <f t="shared" si="6"/>
        <v>M</v>
      </c>
      <c r="AS51" s="214" t="str">
        <f t="shared" si="10"/>
        <v>M</v>
      </c>
      <c r="AT51" s="214">
        <f t="shared" si="11"/>
        <v>0.70833333333333348</v>
      </c>
      <c r="AU51" s="214" t="str">
        <f t="shared" si="12"/>
        <v>M</v>
      </c>
      <c r="AV51" s="214" t="str">
        <f t="shared" si="13"/>
        <v>M</v>
      </c>
      <c r="AW51" s="214">
        <f t="shared" si="14"/>
        <v>0.70833333333333348</v>
      </c>
      <c r="AX51" s="214" t="str">
        <f t="shared" si="15"/>
        <v>M</v>
      </c>
      <c r="AY51" s="215"/>
      <c r="AZ51" s="214">
        <f t="shared" si="8"/>
        <v>0</v>
      </c>
      <c r="BA51" s="214">
        <f t="shared" si="16"/>
        <v>0</v>
      </c>
      <c r="BB51" s="214">
        <f t="shared" si="17"/>
        <v>0</v>
      </c>
      <c r="BC51" s="214">
        <f t="shared" si="18"/>
        <v>0</v>
      </c>
      <c r="BD51" s="214">
        <f t="shared" si="19"/>
        <v>0</v>
      </c>
      <c r="BE51" s="214">
        <f t="shared" si="20"/>
        <v>0</v>
      </c>
      <c r="BF51" s="214">
        <f t="shared" si="21"/>
        <v>0</v>
      </c>
      <c r="BI51" s="217" t="str">
        <f>IF(OR(E51="",F51="",G51=""),"M",1)</f>
        <v>M</v>
      </c>
      <c r="BJ51" s="217" t="str">
        <f>IF(OR(H51="",I51="",J51=""),"M",1)</f>
        <v>M</v>
      </c>
      <c r="BK51" s="217" t="str">
        <f>IF(OR(K51="",L51="",M51=""),"M",1)</f>
        <v>M</v>
      </c>
      <c r="BL51" s="217" t="str">
        <f>IF(OR(N51="",O51="",P51=""),"M",1)</f>
        <v>M</v>
      </c>
      <c r="BM51" s="217" t="str">
        <f>IF(OR(Q51="",R51="",S51=""),"M",1)</f>
        <v>M</v>
      </c>
      <c r="BN51" s="217">
        <f>IF(AND(BI51="M",BJ51="M",BK51="M",BL51="M",BM51="M",D51=""),0,1)</f>
        <v>0</v>
      </c>
      <c r="BO51" s="216"/>
      <c r="BP51" s="216"/>
      <c r="BQ51" s="218"/>
    </row>
    <row r="52" spans="1:69" ht="17.25" customHeight="1">
      <c r="A52" s="296">
        <v>-47</v>
      </c>
      <c r="B52" s="297">
        <f t="shared" si="0"/>
        <v>45878</v>
      </c>
      <c r="C52" s="298">
        <f t="shared" si="1"/>
        <v>45878</v>
      </c>
      <c r="D52" s="242"/>
      <c r="E52" s="46"/>
      <c r="F52" s="47"/>
      <c r="G52" s="48"/>
      <c r="H52" s="46"/>
      <c r="I52" s="47"/>
      <c r="J52" s="48"/>
      <c r="K52" s="46"/>
      <c r="L52" s="47"/>
      <c r="M52" s="48"/>
      <c r="N52" s="46"/>
      <c r="O52" s="47"/>
      <c r="P52" s="48"/>
      <c r="Q52" s="46"/>
      <c r="R52" s="47"/>
      <c r="S52" s="94"/>
      <c r="T52" s="92" t="str">
        <f>IF(BN52=0,"M",IF(D52="p1",AL52,IF(D52="p2",AM52,IF(D52="A",0,((E52*F52)*G52/0.6)+((H52*I52)*J52/0.6)+((K52*L52)*M52/0.6)+((N52*O52)*P52/0.6)+((Q52*R52)*S52/0.6)))))</f>
        <v>M</v>
      </c>
      <c r="U52" s="264" t="str">
        <f t="shared" si="23"/>
        <v>M</v>
      </c>
      <c r="V52" s="91"/>
      <c r="W52" s="127"/>
      <c r="X52" s="208">
        <f t="shared" si="2"/>
        <v>0</v>
      </c>
      <c r="Y52" s="209"/>
      <c r="Z52" s="209"/>
      <c r="AA52" s="209"/>
      <c r="AB52" s="209"/>
      <c r="AC52" s="257"/>
      <c r="AD52" s="261"/>
      <c r="AE52" s="234"/>
      <c r="AF52" s="234"/>
      <c r="AG52" s="234"/>
      <c r="AH52" s="234"/>
      <c r="AI52" s="234"/>
      <c r="AL52" s="212" t="b">
        <f t="shared" si="24"/>
        <v>0</v>
      </c>
      <c r="AM52" s="212" t="b">
        <f t="shared" si="25"/>
        <v>0</v>
      </c>
      <c r="AN52" s="212" t="str">
        <f>IF(D52="p1",AQ52,"no")</f>
        <v>no</v>
      </c>
      <c r="AO52" s="212" t="str">
        <f>IF(D52="p2",AQ52,"no")</f>
        <v>no</v>
      </c>
      <c r="AP52" s="213"/>
      <c r="AQ52" s="212">
        <f>WEEKDAY(C52)</f>
        <v>7</v>
      </c>
      <c r="AR52" s="214" t="str">
        <f t="shared" si="6"/>
        <v>M</v>
      </c>
      <c r="AS52" s="214" t="str">
        <f t="shared" si="10"/>
        <v>M</v>
      </c>
      <c r="AT52" s="214">
        <f t="shared" si="11"/>
        <v>0.70833333333333348</v>
      </c>
      <c r="AU52" s="214" t="str">
        <f t="shared" si="12"/>
        <v>M</v>
      </c>
      <c r="AV52" s="214" t="str">
        <f t="shared" si="13"/>
        <v>M</v>
      </c>
      <c r="AW52" s="214">
        <f t="shared" si="14"/>
        <v>0.70833333333333348</v>
      </c>
      <c r="AX52" s="214" t="str">
        <f t="shared" si="15"/>
        <v>M</v>
      </c>
      <c r="AY52" s="215"/>
      <c r="AZ52" s="214">
        <f t="shared" si="8"/>
        <v>0</v>
      </c>
      <c r="BA52" s="214">
        <f t="shared" si="16"/>
        <v>0</v>
      </c>
      <c r="BB52" s="214">
        <f t="shared" si="17"/>
        <v>0</v>
      </c>
      <c r="BC52" s="214">
        <f t="shared" si="18"/>
        <v>0</v>
      </c>
      <c r="BD52" s="214">
        <f t="shared" si="19"/>
        <v>0</v>
      </c>
      <c r="BE52" s="214">
        <f t="shared" si="20"/>
        <v>0</v>
      </c>
      <c r="BF52" s="214">
        <f t="shared" si="21"/>
        <v>0</v>
      </c>
      <c r="BI52" s="217" t="str">
        <f>IF(OR(E52="",F52="",G52=""),"M",1)</f>
        <v>M</v>
      </c>
      <c r="BJ52" s="217" t="str">
        <f>IF(OR(H52="",I52="",J52=""),"M",1)</f>
        <v>M</v>
      </c>
      <c r="BK52" s="217" t="str">
        <f>IF(OR(K52="",L52="",M52=""),"M",1)</f>
        <v>M</v>
      </c>
      <c r="BL52" s="217" t="str">
        <f>IF(OR(N52="",O52="",P52=""),"M",1)</f>
        <v>M</v>
      </c>
      <c r="BM52" s="217" t="str">
        <f>IF(OR(Q52="",R52="",S52=""),"M",1)</f>
        <v>M</v>
      </c>
      <c r="BN52" s="217">
        <f>IF(AND(BI52="M",BJ52="M",BK52="M",BL52="M",BM52="M",D52=""),0,1)</f>
        <v>0</v>
      </c>
      <c r="BO52" s="216"/>
      <c r="BP52" s="216"/>
      <c r="BQ52" s="218"/>
    </row>
    <row r="53" spans="1:69" ht="17.25" customHeight="1">
      <c r="A53" s="296">
        <v>-46</v>
      </c>
      <c r="B53" s="297">
        <f t="shared" si="0"/>
        <v>45879</v>
      </c>
      <c r="C53" s="298">
        <f t="shared" si="1"/>
        <v>45879</v>
      </c>
      <c r="D53" s="241"/>
      <c r="E53" s="46"/>
      <c r="F53" s="47"/>
      <c r="G53" s="48"/>
      <c r="H53" s="46"/>
      <c r="I53" s="47"/>
      <c r="J53" s="48"/>
      <c r="K53" s="46"/>
      <c r="L53" s="47"/>
      <c r="M53" s="48"/>
      <c r="N53" s="46"/>
      <c r="O53" s="47"/>
      <c r="P53" s="48"/>
      <c r="Q53" s="46"/>
      <c r="R53" s="47"/>
      <c r="S53" s="94"/>
      <c r="T53" s="92" t="str">
        <f>IF(BN53=0,"M",IF(D53="p1",AL53,IF(D53="p2",AM53,IF(D53="A",0,((E53*F53)*G53/0.6)+((H53*I53)*J53/0.6)+((K53*L53)*M53/0.6)+((N53*O53)*P53/0.6)+((Q53*R53)*S53/0.6)))))</f>
        <v>M</v>
      </c>
      <c r="U53" s="264" t="str">
        <f t="shared" si="23"/>
        <v>M</v>
      </c>
      <c r="V53" s="91"/>
      <c r="W53" s="127"/>
      <c r="X53" s="208">
        <f t="shared" si="2"/>
        <v>0</v>
      </c>
      <c r="Y53" s="209"/>
      <c r="Z53" s="209"/>
      <c r="AA53" s="209"/>
      <c r="AB53" s="209"/>
      <c r="AC53" s="257"/>
      <c r="AD53" s="261"/>
      <c r="AE53" s="234"/>
      <c r="AF53" s="234"/>
      <c r="AG53" s="234"/>
      <c r="AH53" s="234"/>
      <c r="AI53" s="234"/>
      <c r="AL53" s="212" t="b">
        <f t="shared" si="24"/>
        <v>0</v>
      </c>
      <c r="AM53" s="212" t="b">
        <f t="shared" si="25"/>
        <v>0</v>
      </c>
      <c r="AN53" s="212" t="str">
        <f>IF(D53="p1",AQ53,"no")</f>
        <v>no</v>
      </c>
      <c r="AO53" s="212" t="str">
        <f>IF(D53="p2",AQ53,"no")</f>
        <v>no</v>
      </c>
      <c r="AP53" s="213"/>
      <c r="AQ53" s="212">
        <f>WEEKDAY(C53)</f>
        <v>1</v>
      </c>
      <c r="AR53" s="214" t="str">
        <f t="shared" si="6"/>
        <v>M</v>
      </c>
      <c r="AS53" s="214" t="str">
        <f t="shared" si="10"/>
        <v>M</v>
      </c>
      <c r="AT53" s="214">
        <f t="shared" si="11"/>
        <v>0.70833333333333348</v>
      </c>
      <c r="AU53" s="214" t="str">
        <f t="shared" si="12"/>
        <v>M</v>
      </c>
      <c r="AV53" s="214" t="str">
        <f t="shared" si="13"/>
        <v>M</v>
      </c>
      <c r="AW53" s="214">
        <f t="shared" si="14"/>
        <v>0.70833333333333348</v>
      </c>
      <c r="AX53" s="214" t="str">
        <f t="shared" si="15"/>
        <v>M</v>
      </c>
      <c r="AY53" s="215"/>
      <c r="AZ53" s="214">
        <f t="shared" si="8"/>
        <v>0</v>
      </c>
      <c r="BA53" s="214">
        <f t="shared" si="16"/>
        <v>0</v>
      </c>
      <c r="BB53" s="214">
        <f t="shared" si="17"/>
        <v>0</v>
      </c>
      <c r="BC53" s="214">
        <f t="shared" si="18"/>
        <v>0</v>
      </c>
      <c r="BD53" s="214">
        <f t="shared" si="19"/>
        <v>0</v>
      </c>
      <c r="BE53" s="214">
        <f t="shared" si="20"/>
        <v>0</v>
      </c>
      <c r="BF53" s="214">
        <f t="shared" si="21"/>
        <v>0</v>
      </c>
      <c r="BI53" s="217" t="str">
        <f>IF(OR(E53="",F53="",G53=""),"M",1)</f>
        <v>M</v>
      </c>
      <c r="BJ53" s="217" t="str">
        <f>IF(OR(H53="",I53="",J53=""),"M",1)</f>
        <v>M</v>
      </c>
      <c r="BK53" s="217" t="str">
        <f>IF(OR(K53="",L53="",M53=""),"M",1)</f>
        <v>M</v>
      </c>
      <c r="BL53" s="217" t="str">
        <f>IF(OR(N53="",O53="",P53=""),"M",1)</f>
        <v>M</v>
      </c>
      <c r="BM53" s="217" t="str">
        <f>IF(OR(Q53="",R53="",S53=""),"M",1)</f>
        <v>M</v>
      </c>
      <c r="BN53" s="217">
        <f>IF(AND(BI53="M",BJ53="M",BK53="M",BL53="M",BM53="M",D53=""),0,1)</f>
        <v>0</v>
      </c>
      <c r="BO53" s="216"/>
      <c r="BP53" s="216"/>
      <c r="BQ53" s="218"/>
    </row>
    <row r="54" spans="1:69" ht="17.25" customHeight="1">
      <c r="A54" s="296">
        <v>-45</v>
      </c>
      <c r="B54" s="297">
        <f t="shared" si="0"/>
        <v>45880</v>
      </c>
      <c r="C54" s="298">
        <f t="shared" si="1"/>
        <v>45880</v>
      </c>
      <c r="D54" s="242"/>
      <c r="E54" s="46"/>
      <c r="F54" s="47"/>
      <c r="G54" s="48"/>
      <c r="H54" s="46"/>
      <c r="I54" s="47"/>
      <c r="J54" s="48"/>
      <c r="K54" s="46"/>
      <c r="L54" s="47"/>
      <c r="M54" s="48"/>
      <c r="N54" s="46"/>
      <c r="O54" s="47"/>
      <c r="P54" s="48"/>
      <c r="Q54" s="46"/>
      <c r="R54" s="47"/>
      <c r="S54" s="94"/>
      <c r="T54" s="92" t="str">
        <f>IF(BN54=0,"M",IF(D54="p1",AL54,IF(D54="p2",AM54,IF(D54="A",0,((E54*F54)*G54/0.6)+((H54*I54)*J54/0.6)+((K54*L54)*M54/0.6)+((N54*O54)*P54/0.6)+((Q54*R54)*S54/0.6)))))</f>
        <v>M</v>
      </c>
      <c r="U54" s="264" t="str">
        <f t="shared" si="23"/>
        <v>M</v>
      </c>
      <c r="V54" s="91"/>
      <c r="W54" s="127"/>
      <c r="X54" s="208">
        <f t="shared" si="2"/>
        <v>0</v>
      </c>
      <c r="Y54" s="209"/>
      <c r="Z54" s="209"/>
      <c r="AA54" s="209"/>
      <c r="AB54" s="209"/>
      <c r="AC54" s="257"/>
      <c r="AD54" s="261"/>
      <c r="AE54" s="234"/>
      <c r="AF54" s="234"/>
      <c r="AG54" s="234"/>
      <c r="AH54" s="234"/>
      <c r="AI54" s="234"/>
      <c r="AL54" s="212" t="b">
        <f t="shared" si="24"/>
        <v>0</v>
      </c>
      <c r="AM54" s="212" t="b">
        <f t="shared" si="25"/>
        <v>0</v>
      </c>
      <c r="AN54" s="212" t="str">
        <f>IF(D54="p1",AQ54,"no")</f>
        <v>no</v>
      </c>
      <c r="AO54" s="212" t="str">
        <f>IF(D54="p2",AQ54,"no")</f>
        <v>no</v>
      </c>
      <c r="AP54" s="213"/>
      <c r="AQ54" s="212">
        <f>WEEKDAY(C54)</f>
        <v>2</v>
      </c>
      <c r="AR54" s="214" t="str">
        <f t="shared" si="6"/>
        <v>M</v>
      </c>
      <c r="AS54" s="214" t="str">
        <f t="shared" si="10"/>
        <v>M</v>
      </c>
      <c r="AT54" s="214">
        <f t="shared" si="11"/>
        <v>0.70833333333333348</v>
      </c>
      <c r="AU54" s="214" t="str">
        <f t="shared" si="12"/>
        <v>M</v>
      </c>
      <c r="AV54" s="214" t="str">
        <f t="shared" si="13"/>
        <v>M</v>
      </c>
      <c r="AW54" s="214">
        <f t="shared" si="14"/>
        <v>0.70833333333333348</v>
      </c>
      <c r="AX54" s="214" t="str">
        <f t="shared" si="15"/>
        <v>M</v>
      </c>
      <c r="AY54" s="215"/>
      <c r="AZ54" s="214">
        <f t="shared" si="8"/>
        <v>0</v>
      </c>
      <c r="BA54" s="214">
        <f t="shared" si="16"/>
        <v>0</v>
      </c>
      <c r="BB54" s="214">
        <f t="shared" si="17"/>
        <v>0</v>
      </c>
      <c r="BC54" s="214">
        <f t="shared" si="18"/>
        <v>0</v>
      </c>
      <c r="BD54" s="214">
        <f t="shared" si="19"/>
        <v>0</v>
      </c>
      <c r="BE54" s="214">
        <f t="shared" si="20"/>
        <v>0</v>
      </c>
      <c r="BF54" s="214">
        <f t="shared" si="21"/>
        <v>0</v>
      </c>
      <c r="BI54" s="217" t="str">
        <f>IF(OR(E54="",F54="",G54=""),"M",1)</f>
        <v>M</v>
      </c>
      <c r="BJ54" s="217" t="str">
        <f>IF(OR(H54="",I54="",J54=""),"M",1)</f>
        <v>M</v>
      </c>
      <c r="BK54" s="217" t="str">
        <f>IF(OR(K54="",L54="",M54=""),"M",1)</f>
        <v>M</v>
      </c>
      <c r="BL54" s="217" t="str">
        <f>IF(OR(N54="",O54="",P54=""),"M",1)</f>
        <v>M</v>
      </c>
      <c r="BM54" s="217" t="str">
        <f>IF(OR(Q54="",R54="",S54=""),"M",1)</f>
        <v>M</v>
      </c>
      <c r="BN54" s="217">
        <f>IF(AND(BI54="M",BJ54="M",BK54="M",BL54="M",BM54="M",D54=""),0,1)</f>
        <v>0</v>
      </c>
      <c r="BO54" s="216"/>
      <c r="BP54" s="216"/>
      <c r="BQ54" s="218"/>
    </row>
    <row r="55" spans="1:69" ht="17.25" customHeight="1">
      <c r="A55" s="296">
        <v>-44</v>
      </c>
      <c r="B55" s="297">
        <f t="shared" si="0"/>
        <v>45881</v>
      </c>
      <c r="C55" s="298">
        <f t="shared" si="1"/>
        <v>45881</v>
      </c>
      <c r="D55" s="241"/>
      <c r="E55" s="46"/>
      <c r="F55" s="47"/>
      <c r="G55" s="48"/>
      <c r="H55" s="46"/>
      <c r="I55" s="47"/>
      <c r="J55" s="48"/>
      <c r="K55" s="46"/>
      <c r="L55" s="47"/>
      <c r="M55" s="48"/>
      <c r="N55" s="46"/>
      <c r="O55" s="47"/>
      <c r="P55" s="48"/>
      <c r="Q55" s="46"/>
      <c r="R55" s="47"/>
      <c r="S55" s="94"/>
      <c r="T55" s="92" t="str">
        <f>IF(BN55=0,"M",IF(D55="p1",AL55,IF(D55="p2",AM55,IF(D55="A",0,((E55*F55)*G55/0.6)+((H55*I55)*J55/0.6)+((K55*L55)*M55/0.6)+((N55*O55)*P55/0.6)+((Q55*R55)*S55/0.6)))))</f>
        <v>M</v>
      </c>
      <c r="U55" s="264" t="str">
        <f t="shared" si="23"/>
        <v>M</v>
      </c>
      <c r="V55" s="91"/>
      <c r="W55" s="127"/>
      <c r="X55" s="208">
        <f t="shared" si="2"/>
        <v>0</v>
      </c>
      <c r="Y55" s="209"/>
      <c r="Z55" s="209"/>
      <c r="AA55" s="209"/>
      <c r="AB55" s="209"/>
      <c r="AC55" s="257"/>
      <c r="AD55" s="261"/>
      <c r="AE55" s="234"/>
      <c r="AF55" s="234"/>
      <c r="AG55" s="234"/>
      <c r="AH55" s="234"/>
      <c r="AI55" s="234"/>
      <c r="AL55" s="212" t="b">
        <f t="shared" si="24"/>
        <v>0</v>
      </c>
      <c r="AM55" s="212" t="b">
        <f t="shared" si="25"/>
        <v>0</v>
      </c>
      <c r="AN55" s="212" t="str">
        <f>IF(D55="p1",AQ55,"no")</f>
        <v>no</v>
      </c>
      <c r="AO55" s="212" t="str">
        <f>IF(D55="p2",AQ55,"no")</f>
        <v>no</v>
      </c>
      <c r="AP55" s="213"/>
      <c r="AQ55" s="212">
        <f>WEEKDAY(C55)</f>
        <v>3</v>
      </c>
      <c r="AR55" s="214" t="str">
        <f t="shared" si="6"/>
        <v>M</v>
      </c>
      <c r="AS55" s="214" t="str">
        <f t="shared" si="10"/>
        <v>M</v>
      </c>
      <c r="AT55" s="214">
        <f t="shared" si="11"/>
        <v>0.70833333333333348</v>
      </c>
      <c r="AU55" s="214" t="str">
        <f t="shared" si="12"/>
        <v>M</v>
      </c>
      <c r="AV55" s="214" t="str">
        <f t="shared" si="13"/>
        <v>M</v>
      </c>
      <c r="AW55" s="214">
        <f t="shared" si="14"/>
        <v>0.70833333333333348</v>
      </c>
      <c r="AX55" s="214" t="str">
        <f t="shared" si="15"/>
        <v>M</v>
      </c>
      <c r="AY55" s="215"/>
      <c r="AZ55" s="214">
        <f t="shared" si="8"/>
        <v>0</v>
      </c>
      <c r="BA55" s="214">
        <f t="shared" si="16"/>
        <v>0</v>
      </c>
      <c r="BB55" s="214">
        <f t="shared" si="17"/>
        <v>0</v>
      </c>
      <c r="BC55" s="214">
        <f t="shared" si="18"/>
        <v>0</v>
      </c>
      <c r="BD55" s="214">
        <f t="shared" si="19"/>
        <v>0</v>
      </c>
      <c r="BE55" s="214">
        <f t="shared" si="20"/>
        <v>0</v>
      </c>
      <c r="BF55" s="214">
        <f t="shared" si="21"/>
        <v>0</v>
      </c>
      <c r="BI55" s="217" t="str">
        <f>IF(OR(E55="",F55="",G55=""),"M",1)</f>
        <v>M</v>
      </c>
      <c r="BJ55" s="217" t="str">
        <f>IF(OR(H55="",I55="",J55=""),"M",1)</f>
        <v>M</v>
      </c>
      <c r="BK55" s="217" t="str">
        <f>IF(OR(K55="",L55="",M55=""),"M",1)</f>
        <v>M</v>
      </c>
      <c r="BL55" s="217" t="str">
        <f>IF(OR(N55="",O55="",P55=""),"M",1)</f>
        <v>M</v>
      </c>
      <c r="BM55" s="217" t="str">
        <f>IF(OR(Q55="",R55="",S55=""),"M",1)</f>
        <v>M</v>
      </c>
      <c r="BN55" s="217">
        <f>IF(AND(BI55="M",BJ55="M",BK55="M",BL55="M",BM55="M",D55=""),0,1)</f>
        <v>0</v>
      </c>
      <c r="BO55" s="216"/>
      <c r="BP55" s="216"/>
      <c r="BQ55" s="218"/>
    </row>
    <row r="56" spans="1:69" ht="17.25" customHeight="1">
      <c r="A56" s="296">
        <v>-43</v>
      </c>
      <c r="B56" s="297">
        <f t="shared" si="0"/>
        <v>45882</v>
      </c>
      <c r="C56" s="298">
        <f t="shared" si="1"/>
        <v>45882</v>
      </c>
      <c r="D56" s="242"/>
      <c r="E56" s="46"/>
      <c r="F56" s="47"/>
      <c r="G56" s="48"/>
      <c r="H56" s="46"/>
      <c r="I56" s="47"/>
      <c r="J56" s="48"/>
      <c r="K56" s="46"/>
      <c r="L56" s="47"/>
      <c r="M56" s="48"/>
      <c r="N56" s="46"/>
      <c r="O56" s="47"/>
      <c r="P56" s="48"/>
      <c r="Q56" s="46"/>
      <c r="R56" s="47"/>
      <c r="S56" s="94"/>
      <c r="T56" s="92" t="str">
        <f>IF(BN56=0,"M",IF(D56="p1",AL56,IF(D56="p2",AM56,IF(D56="A",0,((E56*F56)*G56/0.6)+((H56*I56)*J56/0.6)+((K56*L56)*M56/0.6)+((N56*O56)*P56/0.6)+((Q56*R56)*S56/0.6)))))</f>
        <v>M</v>
      </c>
      <c r="U56" s="264" t="str">
        <f t="shared" si="23"/>
        <v>M</v>
      </c>
      <c r="V56" s="91"/>
      <c r="W56" s="127"/>
      <c r="X56" s="208">
        <f t="shared" si="2"/>
        <v>0</v>
      </c>
      <c r="Y56" s="209"/>
      <c r="Z56" s="209"/>
      <c r="AA56" s="209"/>
      <c r="AB56" s="209"/>
      <c r="AC56" s="257"/>
      <c r="AD56" s="261"/>
      <c r="AE56" s="234"/>
      <c r="AF56" s="234"/>
      <c r="AG56" s="234"/>
      <c r="AH56" s="234"/>
      <c r="AI56" s="234"/>
      <c r="AL56" s="212" t="b">
        <f t="shared" si="24"/>
        <v>0</v>
      </c>
      <c r="AM56" s="212" t="b">
        <f t="shared" si="25"/>
        <v>0</v>
      </c>
      <c r="AN56" s="212" t="str">
        <f>IF(D56="p1",AQ56,"no")</f>
        <v>no</v>
      </c>
      <c r="AO56" s="212" t="str">
        <f>IF(D56="p2",AQ56,"no")</f>
        <v>no</v>
      </c>
      <c r="AP56" s="213"/>
      <c r="AQ56" s="212">
        <f>WEEKDAY(C56)</f>
        <v>4</v>
      </c>
      <c r="AR56" s="214" t="str">
        <f t="shared" si="6"/>
        <v>M</v>
      </c>
      <c r="AS56" s="214" t="str">
        <f t="shared" si="10"/>
        <v>M</v>
      </c>
      <c r="AT56" s="214">
        <f t="shared" si="11"/>
        <v>0.70833333333333348</v>
      </c>
      <c r="AU56" s="214" t="str">
        <f t="shared" si="12"/>
        <v>M</v>
      </c>
      <c r="AV56" s="214" t="str">
        <f t="shared" si="13"/>
        <v>M</v>
      </c>
      <c r="AW56" s="214">
        <f t="shared" si="14"/>
        <v>0.70833333333333348</v>
      </c>
      <c r="AX56" s="214" t="str">
        <f t="shared" si="15"/>
        <v>M</v>
      </c>
      <c r="AY56" s="215"/>
      <c r="AZ56" s="214">
        <f t="shared" si="8"/>
        <v>0</v>
      </c>
      <c r="BA56" s="214">
        <f t="shared" si="16"/>
        <v>0</v>
      </c>
      <c r="BB56" s="214">
        <f t="shared" si="17"/>
        <v>0</v>
      </c>
      <c r="BC56" s="214">
        <f t="shared" si="18"/>
        <v>0</v>
      </c>
      <c r="BD56" s="214">
        <f t="shared" si="19"/>
        <v>0</v>
      </c>
      <c r="BE56" s="214">
        <f t="shared" si="20"/>
        <v>0</v>
      </c>
      <c r="BF56" s="214">
        <f t="shared" si="21"/>
        <v>0</v>
      </c>
      <c r="BI56" s="217" t="str">
        <f>IF(OR(E56="",F56="",G56=""),"M",1)</f>
        <v>M</v>
      </c>
      <c r="BJ56" s="217" t="str">
        <f>IF(OR(H56="",I56="",J56=""),"M",1)</f>
        <v>M</v>
      </c>
      <c r="BK56" s="217" t="str">
        <f>IF(OR(K56="",L56="",M56=""),"M",1)</f>
        <v>M</v>
      </c>
      <c r="BL56" s="217" t="str">
        <f>IF(OR(N56="",O56="",P56=""),"M",1)</f>
        <v>M</v>
      </c>
      <c r="BM56" s="217" t="str">
        <f>IF(OR(Q56="",R56="",S56=""),"M",1)</f>
        <v>M</v>
      </c>
      <c r="BN56" s="217">
        <f>IF(AND(BI56="M",BJ56="M",BK56="M",BL56="M",BM56="M",D56=""),0,1)</f>
        <v>0</v>
      </c>
      <c r="BO56" s="216"/>
      <c r="BP56" s="216"/>
      <c r="BQ56" s="218"/>
    </row>
    <row r="57" spans="1:69" ht="17.25" customHeight="1">
      <c r="A57" s="296">
        <v>-42</v>
      </c>
      <c r="B57" s="297">
        <f t="shared" si="0"/>
        <v>45883</v>
      </c>
      <c r="C57" s="298">
        <f t="shared" si="1"/>
        <v>45883</v>
      </c>
      <c r="D57" s="241"/>
      <c r="E57" s="46"/>
      <c r="F57" s="47"/>
      <c r="G57" s="48"/>
      <c r="H57" s="46"/>
      <c r="I57" s="47"/>
      <c r="J57" s="48"/>
      <c r="K57" s="46"/>
      <c r="L57" s="47"/>
      <c r="M57" s="48"/>
      <c r="N57" s="46"/>
      <c r="O57" s="47"/>
      <c r="P57" s="48"/>
      <c r="Q57" s="46"/>
      <c r="R57" s="47"/>
      <c r="S57" s="94"/>
      <c r="T57" s="92" t="str">
        <f>IF(BN57=0,"M",IF(D57="p1",AL57,IF(D57="p2",AM57,IF(D57="A",0,((E57*F57)*G57/0.6)+((H57*I57)*J57/0.6)+((K57*L57)*M57/0.6)+((N57*O57)*P57/0.6)+((Q57*R57)*S57/0.6)))))</f>
        <v>M</v>
      </c>
      <c r="U57" s="264" t="str">
        <f t="shared" si="23"/>
        <v>M</v>
      </c>
      <c r="V57" s="91"/>
      <c r="W57" s="127"/>
      <c r="X57" s="208">
        <f t="shared" si="2"/>
        <v>0</v>
      </c>
      <c r="Y57" s="209"/>
      <c r="Z57" s="209"/>
      <c r="AA57" s="209"/>
      <c r="AB57" s="209"/>
      <c r="AC57" s="257"/>
      <c r="AD57" s="261"/>
      <c r="AE57" s="234"/>
      <c r="AF57" s="234"/>
      <c r="AG57" s="234"/>
      <c r="AH57" s="234"/>
      <c r="AI57" s="234"/>
      <c r="AL57" s="212" t="b">
        <f t="shared" si="24"/>
        <v>0</v>
      </c>
      <c r="AM57" s="212" t="b">
        <f t="shared" si="25"/>
        <v>0</v>
      </c>
      <c r="AN57" s="212" t="str">
        <f>IF(D57="p1",AQ57,"no")</f>
        <v>no</v>
      </c>
      <c r="AO57" s="212" t="str">
        <f>IF(D57="p2",AQ57,"no")</f>
        <v>no</v>
      </c>
      <c r="AP57" s="213"/>
      <c r="AQ57" s="212">
        <f>WEEKDAY(C57)</f>
        <v>5</v>
      </c>
      <c r="AR57" s="214" t="str">
        <f t="shared" si="6"/>
        <v>M</v>
      </c>
      <c r="AS57" s="214" t="str">
        <f t="shared" si="10"/>
        <v>M</v>
      </c>
      <c r="AT57" s="214">
        <f t="shared" si="11"/>
        <v>0.70833333333333348</v>
      </c>
      <c r="AU57" s="214" t="str">
        <f t="shared" si="12"/>
        <v>M</v>
      </c>
      <c r="AV57" s="214" t="str">
        <f t="shared" si="13"/>
        <v>M</v>
      </c>
      <c r="AW57" s="214">
        <f t="shared" si="14"/>
        <v>0.70833333333333348</v>
      </c>
      <c r="AX57" s="214" t="str">
        <f t="shared" si="15"/>
        <v>M</v>
      </c>
      <c r="AY57" s="215"/>
      <c r="AZ57" s="214">
        <f t="shared" si="8"/>
        <v>0</v>
      </c>
      <c r="BA57" s="214">
        <f t="shared" si="16"/>
        <v>0</v>
      </c>
      <c r="BB57" s="214">
        <f t="shared" si="17"/>
        <v>0</v>
      </c>
      <c r="BC57" s="214">
        <f t="shared" si="18"/>
        <v>0</v>
      </c>
      <c r="BD57" s="214">
        <f t="shared" si="19"/>
        <v>0</v>
      </c>
      <c r="BE57" s="214">
        <f t="shared" si="20"/>
        <v>0</v>
      </c>
      <c r="BF57" s="214">
        <f t="shared" si="21"/>
        <v>0</v>
      </c>
      <c r="BI57" s="217" t="str">
        <f>IF(OR(E57="",F57="",G57=""),"M",1)</f>
        <v>M</v>
      </c>
      <c r="BJ57" s="217" t="str">
        <f>IF(OR(H57="",I57="",J57=""),"M",1)</f>
        <v>M</v>
      </c>
      <c r="BK57" s="217" t="str">
        <f>IF(OR(K57="",L57="",M57=""),"M",1)</f>
        <v>M</v>
      </c>
      <c r="BL57" s="217" t="str">
        <f>IF(OR(N57="",O57="",P57=""),"M",1)</f>
        <v>M</v>
      </c>
      <c r="BM57" s="217" t="str">
        <f>IF(OR(Q57="",R57="",S57=""),"M",1)</f>
        <v>M</v>
      </c>
      <c r="BN57" s="217">
        <f>IF(AND(BI57="M",BJ57="M",BK57="M",BL57="M",BM57="M",D57=""),0,1)</f>
        <v>0</v>
      </c>
      <c r="BO57" s="216"/>
      <c r="BP57" s="216"/>
      <c r="BQ57" s="218"/>
    </row>
    <row r="58" spans="1:69" ht="17.25" customHeight="1">
      <c r="A58" s="296">
        <v>-41</v>
      </c>
      <c r="B58" s="297">
        <f t="shared" si="0"/>
        <v>45884</v>
      </c>
      <c r="C58" s="298">
        <f t="shared" si="1"/>
        <v>45884</v>
      </c>
      <c r="D58" s="242"/>
      <c r="E58" s="46"/>
      <c r="F58" s="47"/>
      <c r="G58" s="48"/>
      <c r="H58" s="46"/>
      <c r="I58" s="47"/>
      <c r="J58" s="48"/>
      <c r="K58" s="46"/>
      <c r="L58" s="47"/>
      <c r="M58" s="48"/>
      <c r="N58" s="46"/>
      <c r="O58" s="47"/>
      <c r="P58" s="48"/>
      <c r="Q58" s="46"/>
      <c r="R58" s="47"/>
      <c r="S58" s="94"/>
      <c r="T58" s="92" t="str">
        <f>IF(BN58=0,"M",IF(D58="p1",AL58,IF(D58="p2",AM58,IF(D58="A",0,((E58*F58)*G58/0.6)+((H58*I58)*J58/0.6)+((K58*L58)*M58/0.6)+((N58*O58)*P58/0.6)+((Q58*R58)*S58/0.6)))))</f>
        <v>M</v>
      </c>
      <c r="U58" s="264" t="str">
        <f t="shared" si="23"/>
        <v>M</v>
      </c>
      <c r="V58" s="91"/>
      <c r="W58" s="127"/>
      <c r="X58" s="208">
        <f t="shared" si="2"/>
        <v>0</v>
      </c>
      <c r="Y58" s="209"/>
      <c r="Z58" s="209"/>
      <c r="AA58" s="209"/>
      <c r="AB58" s="209"/>
      <c r="AC58" s="257"/>
      <c r="AD58" s="261"/>
      <c r="AE58" s="234"/>
      <c r="AF58" s="234"/>
      <c r="AG58" s="234"/>
      <c r="AH58" s="234"/>
      <c r="AI58" s="234"/>
      <c r="AL58" s="212" t="b">
        <f t="shared" si="24"/>
        <v>0</v>
      </c>
      <c r="AM58" s="212" t="b">
        <f t="shared" si="25"/>
        <v>0</v>
      </c>
      <c r="AN58" s="212" t="str">
        <f>IF(D58="p1",AQ58,"no")</f>
        <v>no</v>
      </c>
      <c r="AO58" s="212" t="str">
        <f>IF(D58="p2",AQ58,"no")</f>
        <v>no</v>
      </c>
      <c r="AP58" s="213"/>
      <c r="AQ58" s="212">
        <f>WEEKDAY(C58)</f>
        <v>6</v>
      </c>
      <c r="AR58" s="214" t="str">
        <f t="shared" si="6"/>
        <v>M</v>
      </c>
      <c r="AS58" s="214" t="str">
        <f t="shared" si="10"/>
        <v>M</v>
      </c>
      <c r="AT58" s="214">
        <f t="shared" si="11"/>
        <v>0.70833333333333348</v>
      </c>
      <c r="AU58" s="214" t="str">
        <f t="shared" si="12"/>
        <v>M</v>
      </c>
      <c r="AV58" s="214" t="str">
        <f t="shared" si="13"/>
        <v>M</v>
      </c>
      <c r="AW58" s="214">
        <f t="shared" si="14"/>
        <v>0.70833333333333348</v>
      </c>
      <c r="AX58" s="214" t="str">
        <f t="shared" si="15"/>
        <v>M</v>
      </c>
      <c r="AY58" s="215"/>
      <c r="AZ58" s="214">
        <f t="shared" si="8"/>
        <v>0</v>
      </c>
      <c r="BA58" s="214">
        <f t="shared" si="16"/>
        <v>0</v>
      </c>
      <c r="BB58" s="214">
        <f t="shared" si="17"/>
        <v>0</v>
      </c>
      <c r="BC58" s="214">
        <f t="shared" si="18"/>
        <v>0</v>
      </c>
      <c r="BD58" s="214">
        <f t="shared" si="19"/>
        <v>0</v>
      </c>
      <c r="BE58" s="214">
        <f t="shared" si="20"/>
        <v>0</v>
      </c>
      <c r="BF58" s="214">
        <f t="shared" si="21"/>
        <v>0</v>
      </c>
      <c r="BI58" s="217" t="str">
        <f>IF(OR(E58="",F58="",G58=""),"M",1)</f>
        <v>M</v>
      </c>
      <c r="BJ58" s="217" t="str">
        <f>IF(OR(H58="",I58="",J58=""),"M",1)</f>
        <v>M</v>
      </c>
      <c r="BK58" s="217" t="str">
        <f>IF(OR(K58="",L58="",M58=""),"M",1)</f>
        <v>M</v>
      </c>
      <c r="BL58" s="217" t="str">
        <f>IF(OR(N58="",O58="",P58=""),"M",1)</f>
        <v>M</v>
      </c>
      <c r="BM58" s="217" t="str">
        <f>IF(OR(Q58="",R58="",S58=""),"M",1)</f>
        <v>M</v>
      </c>
      <c r="BN58" s="217">
        <f>IF(AND(BI58="M",BJ58="M",BK58="M",BL58="M",BM58="M",D58=""),0,1)</f>
        <v>0</v>
      </c>
      <c r="BO58" s="216"/>
      <c r="BP58" s="216"/>
      <c r="BQ58" s="218"/>
    </row>
    <row r="59" spans="1:69" ht="17.25" customHeight="1">
      <c r="A59" s="296">
        <v>-40</v>
      </c>
      <c r="B59" s="297">
        <f t="shared" si="0"/>
        <v>45885</v>
      </c>
      <c r="C59" s="298">
        <f t="shared" si="1"/>
        <v>45885</v>
      </c>
      <c r="D59" s="241"/>
      <c r="E59" s="46"/>
      <c r="F59" s="47"/>
      <c r="G59" s="48"/>
      <c r="H59" s="46"/>
      <c r="I59" s="47"/>
      <c r="J59" s="48"/>
      <c r="K59" s="46"/>
      <c r="L59" s="47"/>
      <c r="M59" s="48"/>
      <c r="N59" s="46"/>
      <c r="O59" s="47"/>
      <c r="P59" s="48"/>
      <c r="Q59" s="46"/>
      <c r="R59" s="47"/>
      <c r="S59" s="94"/>
      <c r="T59" s="92" t="str">
        <f>IF(BN59=0,"M",IF(D59="p1",AL59,IF(D59="p2",AM59,IF(D59="A",0,((E59*F59)*G59/0.6)+((H59*I59)*J59/0.6)+((K59*L59)*M59/0.6)+((N59*O59)*P59/0.6)+((Q59*R59)*S59/0.6)))))</f>
        <v>M</v>
      </c>
      <c r="U59" s="264" t="str">
        <f t="shared" si="23"/>
        <v>M</v>
      </c>
      <c r="V59" s="91"/>
      <c r="W59" s="127"/>
      <c r="X59" s="208">
        <f t="shared" si="2"/>
        <v>0</v>
      </c>
      <c r="Y59" s="209"/>
      <c r="Z59" s="209"/>
      <c r="AA59" s="209"/>
      <c r="AB59" s="209"/>
      <c r="AC59" s="257"/>
      <c r="AD59" s="261"/>
      <c r="AE59" s="234"/>
      <c r="AF59" s="234"/>
      <c r="AG59" s="234"/>
      <c r="AH59" s="234"/>
      <c r="AI59" s="234"/>
      <c r="AL59" s="212" t="b">
        <f t="shared" si="24"/>
        <v>0</v>
      </c>
      <c r="AM59" s="212" t="b">
        <f t="shared" si="25"/>
        <v>0</v>
      </c>
      <c r="AN59" s="212" t="str">
        <f>IF(D59="p1",AQ59,"no")</f>
        <v>no</v>
      </c>
      <c r="AO59" s="212" t="str">
        <f>IF(D59="p2",AQ59,"no")</f>
        <v>no</v>
      </c>
      <c r="AP59" s="213"/>
      <c r="AQ59" s="212">
        <f>WEEKDAY(C59)</f>
        <v>7</v>
      </c>
      <c r="AR59" s="214" t="str">
        <f t="shared" si="6"/>
        <v>M</v>
      </c>
      <c r="AS59" s="214" t="str">
        <f t="shared" si="10"/>
        <v>M</v>
      </c>
      <c r="AT59" s="214">
        <f t="shared" si="11"/>
        <v>0.70833333333333348</v>
      </c>
      <c r="AU59" s="214" t="str">
        <f t="shared" si="12"/>
        <v>M</v>
      </c>
      <c r="AV59" s="214" t="str">
        <f t="shared" si="13"/>
        <v>M</v>
      </c>
      <c r="AW59" s="214">
        <f t="shared" si="14"/>
        <v>0.70833333333333348</v>
      </c>
      <c r="AX59" s="214" t="str">
        <f t="shared" si="15"/>
        <v>M</v>
      </c>
      <c r="AY59" s="215"/>
      <c r="AZ59" s="214">
        <f t="shared" si="8"/>
        <v>0</v>
      </c>
      <c r="BA59" s="214">
        <f t="shared" si="16"/>
        <v>0</v>
      </c>
      <c r="BB59" s="214">
        <f t="shared" si="17"/>
        <v>0</v>
      </c>
      <c r="BC59" s="214">
        <f t="shared" si="18"/>
        <v>0</v>
      </c>
      <c r="BD59" s="214">
        <f t="shared" si="19"/>
        <v>0</v>
      </c>
      <c r="BE59" s="214">
        <f t="shared" si="20"/>
        <v>0</v>
      </c>
      <c r="BF59" s="214">
        <f t="shared" si="21"/>
        <v>0</v>
      </c>
      <c r="BI59" s="217" t="str">
        <f>IF(OR(E59="",F59="",G59=""),"M",1)</f>
        <v>M</v>
      </c>
      <c r="BJ59" s="217" t="str">
        <f>IF(OR(H59="",I59="",J59=""),"M",1)</f>
        <v>M</v>
      </c>
      <c r="BK59" s="217" t="str">
        <f>IF(OR(K59="",L59="",M59=""),"M",1)</f>
        <v>M</v>
      </c>
      <c r="BL59" s="217" t="str">
        <f>IF(OR(N59="",O59="",P59=""),"M",1)</f>
        <v>M</v>
      </c>
      <c r="BM59" s="217" t="str">
        <f>IF(OR(Q59="",R59="",S59=""),"M",1)</f>
        <v>M</v>
      </c>
      <c r="BN59" s="217">
        <f>IF(AND(BI59="M",BJ59="M",BK59="M",BL59="M",BM59="M",D59=""),0,1)</f>
        <v>0</v>
      </c>
      <c r="BO59" s="216"/>
      <c r="BP59" s="216"/>
      <c r="BQ59" s="218"/>
    </row>
    <row r="60" spans="1:69" ht="17.25" customHeight="1">
      <c r="A60" s="296">
        <v>-39</v>
      </c>
      <c r="B60" s="297">
        <f t="shared" si="0"/>
        <v>45886</v>
      </c>
      <c r="C60" s="298">
        <f t="shared" si="1"/>
        <v>45886</v>
      </c>
      <c r="D60" s="242"/>
      <c r="E60" s="46"/>
      <c r="F60" s="47"/>
      <c r="G60" s="48"/>
      <c r="H60" s="46"/>
      <c r="I60" s="47"/>
      <c r="J60" s="48"/>
      <c r="K60" s="46"/>
      <c r="L60" s="47"/>
      <c r="M60" s="48"/>
      <c r="N60" s="46"/>
      <c r="O60" s="47"/>
      <c r="P60" s="48"/>
      <c r="Q60" s="46"/>
      <c r="R60" s="47"/>
      <c r="S60" s="94"/>
      <c r="T60" s="92" t="str">
        <f>IF(BN60=0,"M",IF(D60="p1",AL60,IF(D60="p2",AM60,IF(D60="A",0,((E60*F60)*G60/0.6)+((H60*I60)*J60/0.6)+((K60*L60)*M60/0.6)+((N60*O60)*P60/0.6)+((Q60*R60)*S60/0.6)))))</f>
        <v>M</v>
      </c>
      <c r="U60" s="264" t="str">
        <f t="shared" si="23"/>
        <v>M</v>
      </c>
      <c r="V60" s="91"/>
      <c r="W60" s="127"/>
      <c r="X60" s="208">
        <f t="shared" si="2"/>
        <v>0</v>
      </c>
      <c r="Y60" s="209"/>
      <c r="Z60" s="209"/>
      <c r="AA60" s="209"/>
      <c r="AB60" s="209"/>
      <c r="AC60" s="257"/>
      <c r="AD60" s="261"/>
      <c r="AE60" s="234"/>
      <c r="AF60" s="234"/>
      <c r="AG60" s="234"/>
      <c r="AH60" s="234"/>
      <c r="AI60" s="234"/>
      <c r="AL60" s="212" t="b">
        <f t="shared" si="24"/>
        <v>0</v>
      </c>
      <c r="AM60" s="212" t="b">
        <f t="shared" si="25"/>
        <v>0</v>
      </c>
      <c r="AN60" s="212" t="str">
        <f>IF(D60="p1",AQ60,"no")</f>
        <v>no</v>
      </c>
      <c r="AO60" s="212" t="str">
        <f>IF(D60="p2",AQ60,"no")</f>
        <v>no</v>
      </c>
      <c r="AP60" s="213"/>
      <c r="AQ60" s="212">
        <f>WEEKDAY(C60)</f>
        <v>1</v>
      </c>
      <c r="AR60" s="214" t="str">
        <f t="shared" si="6"/>
        <v>M</v>
      </c>
      <c r="AS60" s="214" t="str">
        <f t="shared" si="10"/>
        <v>M</v>
      </c>
      <c r="AT60" s="214">
        <f t="shared" si="11"/>
        <v>0.70833333333333348</v>
      </c>
      <c r="AU60" s="214" t="str">
        <f t="shared" si="12"/>
        <v>M</v>
      </c>
      <c r="AV60" s="214" t="str">
        <f t="shared" si="13"/>
        <v>M</v>
      </c>
      <c r="AW60" s="214">
        <f t="shared" si="14"/>
        <v>0.70833333333333348</v>
      </c>
      <c r="AX60" s="214" t="str">
        <f t="shared" si="15"/>
        <v>M</v>
      </c>
      <c r="AY60" s="215"/>
      <c r="AZ60" s="214">
        <f t="shared" si="8"/>
        <v>0</v>
      </c>
      <c r="BA60" s="214">
        <f t="shared" si="16"/>
        <v>0</v>
      </c>
      <c r="BB60" s="214">
        <f t="shared" si="17"/>
        <v>0</v>
      </c>
      <c r="BC60" s="214">
        <f t="shared" si="18"/>
        <v>0</v>
      </c>
      <c r="BD60" s="214">
        <f t="shared" si="19"/>
        <v>0</v>
      </c>
      <c r="BE60" s="214">
        <f t="shared" si="20"/>
        <v>0</v>
      </c>
      <c r="BF60" s="214">
        <f t="shared" si="21"/>
        <v>0</v>
      </c>
      <c r="BI60" s="217" t="str">
        <f>IF(OR(E60="",F60="",G60=""),"M",1)</f>
        <v>M</v>
      </c>
      <c r="BJ60" s="217" t="str">
        <f>IF(OR(H60="",I60="",J60=""),"M",1)</f>
        <v>M</v>
      </c>
      <c r="BK60" s="217" t="str">
        <f>IF(OR(K60="",L60="",M60=""),"M",1)</f>
        <v>M</v>
      </c>
      <c r="BL60" s="217" t="str">
        <f>IF(OR(N60="",O60="",P60=""),"M",1)</f>
        <v>M</v>
      </c>
      <c r="BM60" s="217" t="str">
        <f>IF(OR(Q60="",R60="",S60=""),"M",1)</f>
        <v>M</v>
      </c>
      <c r="BN60" s="217">
        <f>IF(AND(BI60="M",BJ60="M",BK60="M",BL60="M",BM60="M",D60=""),0,1)</f>
        <v>0</v>
      </c>
      <c r="BO60" s="216"/>
      <c r="BP60" s="216"/>
      <c r="BQ60" s="218"/>
    </row>
    <row r="61" spans="1:69" ht="17.25" customHeight="1">
      <c r="A61" s="296">
        <v>-38</v>
      </c>
      <c r="B61" s="297">
        <f t="shared" si="0"/>
        <v>45887</v>
      </c>
      <c r="C61" s="298">
        <f t="shared" si="1"/>
        <v>45887</v>
      </c>
      <c r="D61" s="241"/>
      <c r="E61" s="46"/>
      <c r="F61" s="47"/>
      <c r="G61" s="48"/>
      <c r="H61" s="46"/>
      <c r="I61" s="47"/>
      <c r="J61" s="48"/>
      <c r="K61" s="46"/>
      <c r="L61" s="47"/>
      <c r="M61" s="48"/>
      <c r="N61" s="46"/>
      <c r="O61" s="47"/>
      <c r="P61" s="48"/>
      <c r="Q61" s="46"/>
      <c r="R61" s="47"/>
      <c r="S61" s="94"/>
      <c r="T61" s="92" t="str">
        <f>IF(BN61=0,"M",IF(D61="p1",AL61,IF(D61="p2",AM61,IF(D61="A",0,((E61*F61)*G61/0.6)+((H61*I61)*J61/0.6)+((K61*L61)*M61/0.6)+((N61*O61)*P61/0.6)+((Q61*R61)*S61/0.6)))))</f>
        <v>M</v>
      </c>
      <c r="U61" s="264" t="str">
        <f t="shared" si="23"/>
        <v>M</v>
      </c>
      <c r="V61" s="91"/>
      <c r="W61" s="127"/>
      <c r="X61" s="208">
        <f t="shared" si="2"/>
        <v>0</v>
      </c>
      <c r="Y61" s="209"/>
      <c r="Z61" s="209"/>
      <c r="AA61" s="209"/>
      <c r="AB61" s="209"/>
      <c r="AC61" s="257"/>
      <c r="AD61" s="261"/>
      <c r="AE61" s="234"/>
      <c r="AF61" s="234"/>
      <c r="AG61" s="234"/>
      <c r="AH61" s="234"/>
      <c r="AI61" s="234"/>
      <c r="AL61" s="212" t="b">
        <f t="shared" si="24"/>
        <v>0</v>
      </c>
      <c r="AM61" s="212" t="b">
        <f t="shared" si="25"/>
        <v>0</v>
      </c>
      <c r="AN61" s="212" t="str">
        <f>IF(D61="p1",AQ61,"no")</f>
        <v>no</v>
      </c>
      <c r="AO61" s="212" t="str">
        <f>IF(D61="p2",AQ61,"no")</f>
        <v>no</v>
      </c>
      <c r="AP61" s="213"/>
      <c r="AQ61" s="212">
        <f>WEEKDAY(C61)</f>
        <v>2</v>
      </c>
      <c r="AR61" s="214" t="str">
        <f t="shared" si="6"/>
        <v>M</v>
      </c>
      <c r="AS61" s="214" t="str">
        <f t="shared" si="10"/>
        <v>M</v>
      </c>
      <c r="AT61" s="214">
        <f t="shared" si="11"/>
        <v>0.70833333333333348</v>
      </c>
      <c r="AU61" s="214" t="str">
        <f t="shared" si="12"/>
        <v>M</v>
      </c>
      <c r="AV61" s="214" t="str">
        <f t="shared" si="13"/>
        <v>M</v>
      </c>
      <c r="AW61" s="214">
        <f t="shared" si="14"/>
        <v>0.70833333333333348</v>
      </c>
      <c r="AX61" s="214" t="str">
        <f t="shared" si="15"/>
        <v>M</v>
      </c>
      <c r="AY61" s="215"/>
      <c r="AZ61" s="214">
        <f t="shared" si="8"/>
        <v>0</v>
      </c>
      <c r="BA61" s="214">
        <f t="shared" si="16"/>
        <v>0</v>
      </c>
      <c r="BB61" s="214">
        <f t="shared" si="17"/>
        <v>0</v>
      </c>
      <c r="BC61" s="214">
        <f t="shared" si="18"/>
        <v>0</v>
      </c>
      <c r="BD61" s="214">
        <f t="shared" si="19"/>
        <v>0</v>
      </c>
      <c r="BE61" s="214">
        <f t="shared" si="20"/>
        <v>0</v>
      </c>
      <c r="BF61" s="214">
        <f t="shared" si="21"/>
        <v>0</v>
      </c>
      <c r="BI61" s="217" t="str">
        <f>IF(OR(E61="",F61="",G61=""),"M",1)</f>
        <v>M</v>
      </c>
      <c r="BJ61" s="217" t="str">
        <f>IF(OR(H61="",I61="",J61=""),"M",1)</f>
        <v>M</v>
      </c>
      <c r="BK61" s="217" t="str">
        <f>IF(OR(K61="",L61="",M61=""),"M",1)</f>
        <v>M</v>
      </c>
      <c r="BL61" s="217" t="str">
        <f>IF(OR(N61="",O61="",P61=""),"M",1)</f>
        <v>M</v>
      </c>
      <c r="BM61" s="217" t="str">
        <f>IF(OR(Q61="",R61="",S61=""),"M",1)</f>
        <v>M</v>
      </c>
      <c r="BN61" s="217">
        <f>IF(AND(BI61="M",BJ61="M",BK61="M",BL61="M",BM61="M",D61=""),0,1)</f>
        <v>0</v>
      </c>
      <c r="BO61" s="216"/>
      <c r="BP61" s="216"/>
      <c r="BQ61" s="218"/>
    </row>
    <row r="62" spans="1:69" ht="17.25" customHeight="1">
      <c r="A62" s="296">
        <v>-37</v>
      </c>
      <c r="B62" s="297">
        <f t="shared" si="0"/>
        <v>45888</v>
      </c>
      <c r="C62" s="298">
        <f t="shared" si="1"/>
        <v>45888</v>
      </c>
      <c r="D62" s="242"/>
      <c r="E62" s="46"/>
      <c r="F62" s="47"/>
      <c r="G62" s="48"/>
      <c r="H62" s="46"/>
      <c r="I62" s="47"/>
      <c r="J62" s="48"/>
      <c r="K62" s="46"/>
      <c r="L62" s="47"/>
      <c r="M62" s="48"/>
      <c r="N62" s="46"/>
      <c r="O62" s="47"/>
      <c r="P62" s="48"/>
      <c r="Q62" s="46"/>
      <c r="R62" s="47"/>
      <c r="S62" s="94"/>
      <c r="T62" s="92" t="str">
        <f>IF(BN62=0,"M",IF(D62="p1",AL62,IF(D62="p2",AM62,IF(D62="A",0,((E62*F62)*G62/0.6)+((H62*I62)*J62/0.6)+((K62*L62)*M62/0.6)+((N62*O62)*P62/0.6)+((Q62*R62)*S62/0.6)))))</f>
        <v>M</v>
      </c>
      <c r="U62" s="264" t="str">
        <f t="shared" si="23"/>
        <v>M</v>
      </c>
      <c r="V62" s="91"/>
      <c r="W62" s="127"/>
      <c r="X62" s="208">
        <f t="shared" si="2"/>
        <v>0</v>
      </c>
      <c r="Y62" s="209"/>
      <c r="Z62" s="209"/>
      <c r="AA62" s="209"/>
      <c r="AB62" s="209"/>
      <c r="AC62" s="257"/>
      <c r="AD62" s="261"/>
      <c r="AE62" s="234"/>
      <c r="AF62" s="234"/>
      <c r="AG62" s="234"/>
      <c r="AH62" s="234"/>
      <c r="AI62" s="234"/>
      <c r="AL62" s="212" t="b">
        <f t="shared" si="24"/>
        <v>0</v>
      </c>
      <c r="AM62" s="212" t="b">
        <f t="shared" si="25"/>
        <v>0</v>
      </c>
      <c r="AN62" s="212" t="str">
        <f>IF(D62="p1",AQ62,"no")</f>
        <v>no</v>
      </c>
      <c r="AO62" s="212" t="str">
        <f>IF(D62="p2",AQ62,"no")</f>
        <v>no</v>
      </c>
      <c r="AP62" s="213"/>
      <c r="AQ62" s="212">
        <f>WEEKDAY(C62)</f>
        <v>3</v>
      </c>
      <c r="AR62" s="214" t="str">
        <f t="shared" si="6"/>
        <v>M</v>
      </c>
      <c r="AS62" s="214" t="str">
        <f t="shared" si="10"/>
        <v>M</v>
      </c>
      <c r="AT62" s="214">
        <f t="shared" si="11"/>
        <v>0.70833333333333348</v>
      </c>
      <c r="AU62" s="214" t="str">
        <f t="shared" si="12"/>
        <v>M</v>
      </c>
      <c r="AV62" s="214" t="str">
        <f t="shared" si="13"/>
        <v>M</v>
      </c>
      <c r="AW62" s="214">
        <f t="shared" si="14"/>
        <v>0.70833333333333348</v>
      </c>
      <c r="AX62" s="214" t="str">
        <f t="shared" si="15"/>
        <v>M</v>
      </c>
      <c r="AY62" s="215"/>
      <c r="AZ62" s="214">
        <f t="shared" si="8"/>
        <v>0</v>
      </c>
      <c r="BA62" s="214">
        <f t="shared" si="16"/>
        <v>0</v>
      </c>
      <c r="BB62" s="214">
        <f t="shared" si="17"/>
        <v>0</v>
      </c>
      <c r="BC62" s="214">
        <f t="shared" si="18"/>
        <v>0</v>
      </c>
      <c r="BD62" s="214">
        <f t="shared" si="19"/>
        <v>0</v>
      </c>
      <c r="BE62" s="214">
        <f t="shared" si="20"/>
        <v>0</v>
      </c>
      <c r="BF62" s="214">
        <f t="shared" si="21"/>
        <v>0</v>
      </c>
      <c r="BI62" s="217" t="str">
        <f>IF(OR(E62="",F62="",G62=""),"M",1)</f>
        <v>M</v>
      </c>
      <c r="BJ62" s="217" t="str">
        <f>IF(OR(H62="",I62="",J62=""),"M",1)</f>
        <v>M</v>
      </c>
      <c r="BK62" s="217" t="str">
        <f>IF(OR(K62="",L62="",M62=""),"M",1)</f>
        <v>M</v>
      </c>
      <c r="BL62" s="217" t="str">
        <f>IF(OR(N62="",O62="",P62=""),"M",1)</f>
        <v>M</v>
      </c>
      <c r="BM62" s="217" t="str">
        <f>IF(OR(Q62="",R62="",S62=""),"M",1)</f>
        <v>M</v>
      </c>
      <c r="BN62" s="217">
        <f>IF(AND(BI62="M",BJ62="M",BK62="M",BL62="M",BM62="M",D62=""),0,1)</f>
        <v>0</v>
      </c>
      <c r="BO62" s="216"/>
      <c r="BP62" s="216"/>
      <c r="BQ62" s="218"/>
    </row>
    <row r="63" spans="1:69" ht="17.25" customHeight="1">
      <c r="A63" s="296">
        <v>-36</v>
      </c>
      <c r="B63" s="297">
        <f t="shared" si="0"/>
        <v>45889</v>
      </c>
      <c r="C63" s="298">
        <f t="shared" si="1"/>
        <v>45889</v>
      </c>
      <c r="D63" s="241"/>
      <c r="E63" s="46"/>
      <c r="F63" s="47"/>
      <c r="G63" s="48"/>
      <c r="H63" s="46"/>
      <c r="I63" s="47"/>
      <c r="J63" s="48"/>
      <c r="K63" s="46"/>
      <c r="L63" s="47"/>
      <c r="M63" s="48"/>
      <c r="N63" s="46"/>
      <c r="O63" s="47"/>
      <c r="P63" s="48"/>
      <c r="Q63" s="46"/>
      <c r="R63" s="47"/>
      <c r="S63" s="94"/>
      <c r="T63" s="92" t="str">
        <f>IF(BN63=0,"M",IF(D63="p1",AL63,IF(D63="p2",AM63,IF(D63="A",0,((E63*F63)*G63/0.6)+((H63*I63)*J63/0.6)+((K63*L63)*M63/0.6)+((N63*O63)*P63/0.6)+((Q63*R63)*S63/0.6)))))</f>
        <v>M</v>
      </c>
      <c r="U63" s="264" t="str">
        <f t="shared" si="23"/>
        <v>M</v>
      </c>
      <c r="V63" s="91"/>
      <c r="W63" s="127"/>
      <c r="X63" s="208">
        <f t="shared" si="2"/>
        <v>0</v>
      </c>
      <c r="Y63" s="209"/>
      <c r="Z63" s="209"/>
      <c r="AA63" s="209"/>
      <c r="AB63" s="209"/>
      <c r="AC63" s="257"/>
      <c r="AD63" s="261"/>
      <c r="AE63" s="234"/>
      <c r="AF63" s="234"/>
      <c r="AG63" s="234"/>
      <c r="AH63" s="234"/>
      <c r="AI63" s="234"/>
      <c r="AL63" s="212" t="b">
        <f t="shared" si="24"/>
        <v>0</v>
      </c>
      <c r="AM63" s="212" t="b">
        <f t="shared" si="25"/>
        <v>0</v>
      </c>
      <c r="AN63" s="212" t="str">
        <f>IF(D63="p1",AQ63,"no")</f>
        <v>no</v>
      </c>
      <c r="AO63" s="212" t="str">
        <f>IF(D63="p2",AQ63,"no")</f>
        <v>no</v>
      </c>
      <c r="AP63" s="213"/>
      <c r="AQ63" s="212">
        <f>WEEKDAY(C63)</f>
        <v>4</v>
      </c>
      <c r="AR63" s="214" t="str">
        <f t="shared" si="6"/>
        <v>M</v>
      </c>
      <c r="AS63" s="214" t="str">
        <f t="shared" si="10"/>
        <v>M</v>
      </c>
      <c r="AT63" s="214">
        <f t="shared" si="11"/>
        <v>0.70833333333333348</v>
      </c>
      <c r="AU63" s="214" t="str">
        <f t="shared" si="12"/>
        <v>M</v>
      </c>
      <c r="AV63" s="214" t="str">
        <f t="shared" si="13"/>
        <v>M</v>
      </c>
      <c r="AW63" s="214">
        <f t="shared" si="14"/>
        <v>0.70833333333333348</v>
      </c>
      <c r="AX63" s="214" t="str">
        <f t="shared" si="15"/>
        <v>M</v>
      </c>
      <c r="AY63" s="215"/>
      <c r="AZ63" s="214">
        <f t="shared" si="8"/>
        <v>0</v>
      </c>
      <c r="BA63" s="214">
        <f t="shared" si="16"/>
        <v>0</v>
      </c>
      <c r="BB63" s="214">
        <f t="shared" si="17"/>
        <v>0</v>
      </c>
      <c r="BC63" s="214">
        <f t="shared" si="18"/>
        <v>0</v>
      </c>
      <c r="BD63" s="214">
        <f t="shared" si="19"/>
        <v>0</v>
      </c>
      <c r="BE63" s="214">
        <f t="shared" si="20"/>
        <v>0</v>
      </c>
      <c r="BF63" s="214">
        <f t="shared" si="21"/>
        <v>0</v>
      </c>
      <c r="BI63" s="217" t="str">
        <f>IF(OR(E63="",F63="",G63=""),"M",1)</f>
        <v>M</v>
      </c>
      <c r="BJ63" s="217" t="str">
        <f>IF(OR(H63="",I63="",J63=""),"M",1)</f>
        <v>M</v>
      </c>
      <c r="BK63" s="217" t="str">
        <f>IF(OR(K63="",L63="",M63=""),"M",1)</f>
        <v>M</v>
      </c>
      <c r="BL63" s="217" t="str">
        <f>IF(OR(N63="",O63="",P63=""),"M",1)</f>
        <v>M</v>
      </c>
      <c r="BM63" s="217" t="str">
        <f>IF(OR(Q63="",R63="",S63=""),"M",1)</f>
        <v>M</v>
      </c>
      <c r="BN63" s="217">
        <f>IF(AND(BI63="M",BJ63="M",BK63="M",BL63="M",BM63="M",D63=""),0,1)</f>
        <v>0</v>
      </c>
      <c r="BO63" s="216"/>
      <c r="BP63" s="216"/>
      <c r="BQ63" s="218"/>
    </row>
    <row r="64" spans="1:69" ht="17.25" customHeight="1">
      <c r="A64" s="296">
        <v>-35</v>
      </c>
      <c r="B64" s="297">
        <f t="shared" si="0"/>
        <v>45890</v>
      </c>
      <c r="C64" s="298">
        <f t="shared" si="1"/>
        <v>45890</v>
      </c>
      <c r="D64" s="242"/>
      <c r="E64" s="46"/>
      <c r="F64" s="47"/>
      <c r="G64" s="48"/>
      <c r="H64" s="46"/>
      <c r="I64" s="47"/>
      <c r="J64" s="48"/>
      <c r="K64" s="46"/>
      <c r="L64" s="47"/>
      <c r="M64" s="48"/>
      <c r="N64" s="46"/>
      <c r="O64" s="47"/>
      <c r="P64" s="48"/>
      <c r="Q64" s="46"/>
      <c r="R64" s="47"/>
      <c r="S64" s="94"/>
      <c r="T64" s="92" t="str">
        <f>IF(BN64=0,"M",IF(D64="p1",AL64,IF(D64="p2",AM64,IF(D64="A",0,((E64*F64)*G64/0.6)+((H64*I64)*J64/0.6)+((K64*L64)*M64/0.6)+((N64*O64)*P64/0.6)+((Q64*R64)*S64/0.6)))))</f>
        <v>M</v>
      </c>
      <c r="U64" s="264" t="str">
        <f t="shared" si="23"/>
        <v>M</v>
      </c>
      <c r="V64" s="91"/>
      <c r="W64" s="127"/>
      <c r="X64" s="208">
        <f t="shared" si="2"/>
        <v>0</v>
      </c>
      <c r="Y64" s="209"/>
      <c r="Z64" s="209">
        <f>SUM(X9:X64)</f>
        <v>0</v>
      </c>
      <c r="AA64" s="209">
        <f>IF(Z64=0,1,0)</f>
        <v>1</v>
      </c>
      <c r="AB64" s="209"/>
      <c r="AC64" s="257"/>
      <c r="AD64" s="261"/>
      <c r="AE64" s="234"/>
      <c r="AF64" s="234"/>
      <c r="AG64" s="234"/>
      <c r="AH64" s="234"/>
      <c r="AI64" s="234"/>
      <c r="AL64" s="212" t="b">
        <f t="shared" si="24"/>
        <v>0</v>
      </c>
      <c r="AM64" s="212" t="b">
        <f t="shared" si="25"/>
        <v>0</v>
      </c>
      <c r="AN64" s="212" t="str">
        <f>IF(D64="p1",AQ64,"no")</f>
        <v>no</v>
      </c>
      <c r="AO64" s="212" t="str">
        <f>IF(D64="p2",AQ64,"no")</f>
        <v>no</v>
      </c>
      <c r="AP64" s="213"/>
      <c r="AQ64" s="212">
        <f>WEEKDAY(C64)</f>
        <v>5</v>
      </c>
      <c r="AR64" s="214" t="str">
        <f t="shared" si="6"/>
        <v>M</v>
      </c>
      <c r="AS64" s="214" t="str">
        <f t="shared" si="10"/>
        <v>M</v>
      </c>
      <c r="AT64" s="214">
        <f t="shared" si="11"/>
        <v>0.70833333333333348</v>
      </c>
      <c r="AU64" s="214" t="str">
        <f t="shared" si="12"/>
        <v>M</v>
      </c>
      <c r="AV64" s="214" t="str">
        <f t="shared" si="13"/>
        <v>M</v>
      </c>
      <c r="AW64" s="214">
        <f t="shared" si="14"/>
        <v>0.70833333333333348</v>
      </c>
      <c r="AX64" s="214" t="str">
        <f t="shared" si="15"/>
        <v>M</v>
      </c>
      <c r="AY64" s="215"/>
      <c r="AZ64" s="214">
        <f t="shared" si="8"/>
        <v>0</v>
      </c>
      <c r="BA64" s="214">
        <f t="shared" si="16"/>
        <v>0</v>
      </c>
      <c r="BB64" s="214">
        <f t="shared" si="17"/>
        <v>0</v>
      </c>
      <c r="BC64" s="214">
        <f t="shared" si="18"/>
        <v>0</v>
      </c>
      <c r="BD64" s="214">
        <f t="shared" si="19"/>
        <v>0</v>
      </c>
      <c r="BE64" s="214">
        <f t="shared" si="20"/>
        <v>0</v>
      </c>
      <c r="BF64" s="214">
        <f t="shared" si="21"/>
        <v>0</v>
      </c>
      <c r="BI64" s="217" t="str">
        <f>IF(OR(E64="",F64="",G64=""),"M",1)</f>
        <v>M</v>
      </c>
      <c r="BJ64" s="217" t="str">
        <f>IF(OR(H64="",I64="",J64=""),"M",1)</f>
        <v>M</v>
      </c>
      <c r="BK64" s="217" t="str">
        <f>IF(OR(K64="",L64="",M64=""),"M",1)</f>
        <v>M</v>
      </c>
      <c r="BL64" s="217" t="str">
        <f>IF(OR(N64="",O64="",P64=""),"M",1)</f>
        <v>M</v>
      </c>
      <c r="BM64" s="217" t="str">
        <f>IF(OR(Q64="",R64="",S64=""),"M",1)</f>
        <v>M</v>
      </c>
      <c r="BN64" s="217">
        <f>IF(AND(BI64="M",BJ64="M",BK64="M",BL64="M",BM64="M",D64=""),0,1)</f>
        <v>0</v>
      </c>
      <c r="BO64" s="216"/>
      <c r="BP64" s="216"/>
      <c r="BQ64" s="218"/>
    </row>
    <row r="65" spans="1:69" ht="17.25" customHeight="1">
      <c r="A65" s="296">
        <v>-34</v>
      </c>
      <c r="B65" s="297">
        <f t="shared" si="0"/>
        <v>45891</v>
      </c>
      <c r="C65" s="298">
        <f t="shared" si="1"/>
        <v>45891</v>
      </c>
      <c r="D65" s="241"/>
      <c r="E65" s="46"/>
      <c r="F65" s="47"/>
      <c r="G65" s="48"/>
      <c r="H65" s="46"/>
      <c r="I65" s="47"/>
      <c r="J65" s="48"/>
      <c r="K65" s="46"/>
      <c r="L65" s="47"/>
      <c r="M65" s="48"/>
      <c r="N65" s="46"/>
      <c r="O65" s="47"/>
      <c r="P65" s="48"/>
      <c r="Q65" s="46"/>
      <c r="R65" s="47"/>
      <c r="S65" s="94"/>
      <c r="T65" s="92" t="str">
        <f>IF(BN65=0,"M",IF(D65="p1",AL65,IF(D65="p2",AM65,IF(D65="A",0,((E65*F65)*G65/0.6)+((H65*I65)*J65/0.6)+((K65*L65)*M65/0.6)+((N65*O65)*P65/0.6)+((Q65*R65)*S65/0.6)))))</f>
        <v>M</v>
      </c>
      <c r="U65" s="264" t="str">
        <f t="shared" si="23"/>
        <v>M</v>
      </c>
      <c r="V65" s="91"/>
      <c r="W65" s="127"/>
      <c r="X65" s="208">
        <f t="shared" si="2"/>
        <v>0</v>
      </c>
      <c r="Y65" s="209"/>
      <c r="Z65" s="209">
        <f t="shared" ref="Z65:Z98" si="26">SUM(X10:X65)</f>
        <v>0</v>
      </c>
      <c r="AA65" s="209">
        <f t="shared" ref="AA65:AA98" si="27">IF(Z65=0,1,0)</f>
        <v>1</v>
      </c>
      <c r="AB65" s="209"/>
      <c r="AC65" s="257"/>
      <c r="AD65" s="261"/>
      <c r="AE65" s="234"/>
      <c r="AF65" s="234"/>
      <c r="AG65" s="234"/>
      <c r="AH65" s="234"/>
      <c r="AI65" s="234"/>
      <c r="AL65" s="212" t="b">
        <f t="shared" si="24"/>
        <v>0</v>
      </c>
      <c r="AM65" s="212" t="b">
        <f t="shared" si="25"/>
        <v>0</v>
      </c>
      <c r="AN65" s="212" t="str">
        <f>IF(D65="p1",AQ65,"no")</f>
        <v>no</v>
      </c>
      <c r="AO65" s="212" t="str">
        <f>IF(D65="p2",AQ65,"no")</f>
        <v>no</v>
      </c>
      <c r="AP65" s="213"/>
      <c r="AQ65" s="212">
        <f>WEEKDAY(C65)</f>
        <v>6</v>
      </c>
      <c r="AR65" s="214" t="str">
        <f t="shared" si="6"/>
        <v>M</v>
      </c>
      <c r="AS65" s="214" t="str">
        <f t="shared" si="10"/>
        <v>M</v>
      </c>
      <c r="AT65" s="214">
        <f t="shared" si="11"/>
        <v>0.70833333333333348</v>
      </c>
      <c r="AU65" s="214" t="str">
        <f t="shared" si="12"/>
        <v>M</v>
      </c>
      <c r="AV65" s="214" t="str">
        <f t="shared" si="13"/>
        <v>M</v>
      </c>
      <c r="AW65" s="214">
        <f t="shared" si="14"/>
        <v>0.70833333333333348</v>
      </c>
      <c r="AX65" s="214" t="str">
        <f t="shared" si="15"/>
        <v>M</v>
      </c>
      <c r="AY65" s="215"/>
      <c r="AZ65" s="214">
        <f t="shared" si="8"/>
        <v>0</v>
      </c>
      <c r="BA65" s="214">
        <f t="shared" si="16"/>
        <v>0</v>
      </c>
      <c r="BB65" s="214">
        <f t="shared" si="17"/>
        <v>0</v>
      </c>
      <c r="BC65" s="214">
        <f t="shared" si="18"/>
        <v>0</v>
      </c>
      <c r="BD65" s="214">
        <f t="shared" si="19"/>
        <v>0</v>
      </c>
      <c r="BE65" s="214">
        <f t="shared" si="20"/>
        <v>0</v>
      </c>
      <c r="BF65" s="214">
        <f t="shared" si="21"/>
        <v>0</v>
      </c>
      <c r="BI65" s="217" t="str">
        <f>IF(OR(E65="",F65="",G65=""),"M",1)</f>
        <v>M</v>
      </c>
      <c r="BJ65" s="217" t="str">
        <f>IF(OR(H65="",I65="",J65=""),"M",1)</f>
        <v>M</v>
      </c>
      <c r="BK65" s="217" t="str">
        <f>IF(OR(K65="",L65="",M65=""),"M",1)</f>
        <v>M</v>
      </c>
      <c r="BL65" s="217" t="str">
        <f>IF(OR(N65="",O65="",P65=""),"M",1)</f>
        <v>M</v>
      </c>
      <c r="BM65" s="217" t="str">
        <f>IF(OR(Q65="",R65="",S65=""),"M",1)</f>
        <v>M</v>
      </c>
      <c r="BN65" s="217">
        <f>IF(AND(BI65="M",BJ65="M",BK65="M",BL65="M",BM65="M",D65=""),0,1)</f>
        <v>0</v>
      </c>
      <c r="BO65" s="216"/>
      <c r="BP65" s="216"/>
      <c r="BQ65" s="218"/>
    </row>
    <row r="66" spans="1:69" ht="17.25" customHeight="1">
      <c r="A66" s="296">
        <v>-33</v>
      </c>
      <c r="B66" s="297">
        <f t="shared" si="0"/>
        <v>45892</v>
      </c>
      <c r="C66" s="298">
        <f t="shared" si="1"/>
        <v>45892</v>
      </c>
      <c r="D66" s="242"/>
      <c r="E66" s="46"/>
      <c r="F66" s="47"/>
      <c r="G66" s="48"/>
      <c r="H66" s="46"/>
      <c r="I66" s="47"/>
      <c r="J66" s="48"/>
      <c r="K66" s="46"/>
      <c r="L66" s="47"/>
      <c r="M66" s="48"/>
      <c r="N66" s="46"/>
      <c r="O66" s="47"/>
      <c r="P66" s="48"/>
      <c r="Q66" s="46"/>
      <c r="R66" s="47"/>
      <c r="S66" s="94"/>
      <c r="T66" s="92" t="str">
        <f>IF(BN66=0,"M",IF(D66="p1",AL66,IF(D66="p2",AM66,IF(D66="A",0,((E66*F66)*G66/0.6)+((H66*I66)*J66/0.6)+((K66*L66)*M66/0.6)+((N66*O66)*P66/0.6)+((Q66*R66)*S66/0.6)))))</f>
        <v>M</v>
      </c>
      <c r="U66" s="264" t="str">
        <f t="shared" si="23"/>
        <v>M</v>
      </c>
      <c r="V66" s="91"/>
      <c r="W66" s="127"/>
      <c r="X66" s="208">
        <f t="shared" si="2"/>
        <v>0</v>
      </c>
      <c r="Y66" s="209"/>
      <c r="Z66" s="209">
        <f t="shared" si="26"/>
        <v>0</v>
      </c>
      <c r="AA66" s="209">
        <f t="shared" si="27"/>
        <v>1</v>
      </c>
      <c r="AB66" s="209"/>
      <c r="AC66" s="257"/>
      <c r="AD66" s="261"/>
      <c r="AE66" s="234"/>
      <c r="AF66" s="234"/>
      <c r="AG66" s="234"/>
      <c r="AH66" s="234"/>
      <c r="AI66" s="234"/>
      <c r="AL66" s="212" t="b">
        <f t="shared" si="24"/>
        <v>0</v>
      </c>
      <c r="AM66" s="212" t="b">
        <f t="shared" si="25"/>
        <v>0</v>
      </c>
      <c r="AN66" s="212" t="str">
        <f>IF(D66="p1",AQ66,"no")</f>
        <v>no</v>
      </c>
      <c r="AO66" s="212" t="str">
        <f>IF(D66="p2",AQ66,"no")</f>
        <v>no</v>
      </c>
      <c r="AP66" s="213"/>
      <c r="AQ66" s="212">
        <f>WEEKDAY(C66)</f>
        <v>7</v>
      </c>
      <c r="AR66" s="214" t="str">
        <f t="shared" si="6"/>
        <v>M</v>
      </c>
      <c r="AS66" s="214" t="str">
        <f t="shared" si="10"/>
        <v>M</v>
      </c>
      <c r="AT66" s="214">
        <f t="shared" si="11"/>
        <v>0.70833333333333348</v>
      </c>
      <c r="AU66" s="214" t="str">
        <f t="shared" si="12"/>
        <v>M</v>
      </c>
      <c r="AV66" s="214" t="str">
        <f t="shared" si="13"/>
        <v>M</v>
      </c>
      <c r="AW66" s="214">
        <f t="shared" si="14"/>
        <v>0.70833333333333348</v>
      </c>
      <c r="AX66" s="214" t="str">
        <f t="shared" si="15"/>
        <v>M</v>
      </c>
      <c r="AY66" s="215"/>
      <c r="AZ66" s="214">
        <f t="shared" si="8"/>
        <v>0</v>
      </c>
      <c r="BA66" s="214">
        <f t="shared" si="16"/>
        <v>0</v>
      </c>
      <c r="BB66" s="214">
        <f t="shared" si="17"/>
        <v>0</v>
      </c>
      <c r="BC66" s="214">
        <f t="shared" si="18"/>
        <v>0</v>
      </c>
      <c r="BD66" s="214">
        <f t="shared" si="19"/>
        <v>0</v>
      </c>
      <c r="BE66" s="214">
        <f t="shared" si="20"/>
        <v>0</v>
      </c>
      <c r="BF66" s="214">
        <f t="shared" si="21"/>
        <v>0</v>
      </c>
      <c r="BI66" s="217" t="str">
        <f>IF(OR(E66="",F66="",G66=""),"M",1)</f>
        <v>M</v>
      </c>
      <c r="BJ66" s="217" t="str">
        <f>IF(OR(H66="",I66="",J66=""),"M",1)</f>
        <v>M</v>
      </c>
      <c r="BK66" s="217" t="str">
        <f>IF(OR(K66="",L66="",M66=""),"M",1)</f>
        <v>M</v>
      </c>
      <c r="BL66" s="217" t="str">
        <f>IF(OR(N66="",O66="",P66=""),"M",1)</f>
        <v>M</v>
      </c>
      <c r="BM66" s="217" t="str">
        <f>IF(OR(Q66="",R66="",S66=""),"M",1)</f>
        <v>M</v>
      </c>
      <c r="BN66" s="217">
        <f>IF(AND(BI66="M",BJ66="M",BK66="M",BL66="M",BM66="M",D66=""),0,1)</f>
        <v>0</v>
      </c>
      <c r="BO66" s="216"/>
      <c r="BP66" s="216"/>
      <c r="BQ66" s="218"/>
    </row>
    <row r="67" spans="1:69" ht="17.25" customHeight="1">
      <c r="A67" s="296">
        <v>-32</v>
      </c>
      <c r="B67" s="297">
        <f t="shared" si="0"/>
        <v>45893</v>
      </c>
      <c r="C67" s="298">
        <f t="shared" si="1"/>
        <v>45893</v>
      </c>
      <c r="D67" s="241"/>
      <c r="E67" s="46"/>
      <c r="F67" s="47"/>
      <c r="G67" s="48"/>
      <c r="H67" s="46"/>
      <c r="I67" s="47"/>
      <c r="J67" s="48"/>
      <c r="K67" s="46"/>
      <c r="L67" s="47"/>
      <c r="M67" s="48"/>
      <c r="N67" s="46"/>
      <c r="O67" s="47"/>
      <c r="P67" s="48"/>
      <c r="Q67" s="46"/>
      <c r="R67" s="47"/>
      <c r="S67" s="94"/>
      <c r="T67" s="92" t="str">
        <f>IF(BN67=0,"M",IF(D67="p1",AL67,IF(D67="p2",AM67,IF(D67="A",0,((E67*F67)*G67/0.6)+((H67*I67)*J67/0.6)+((K67*L67)*M67/0.6)+((N67*O67)*P67/0.6)+((Q67*R67)*S67/0.6)))))</f>
        <v>M</v>
      </c>
      <c r="U67" s="264" t="str">
        <f t="shared" si="23"/>
        <v>M</v>
      </c>
      <c r="V67" s="91"/>
      <c r="W67" s="127"/>
      <c r="X67" s="208">
        <f t="shared" si="2"/>
        <v>0</v>
      </c>
      <c r="Y67" s="209"/>
      <c r="Z67" s="209">
        <f t="shared" si="26"/>
        <v>0</v>
      </c>
      <c r="AA67" s="209">
        <f t="shared" si="27"/>
        <v>1</v>
      </c>
      <c r="AB67" s="209"/>
      <c r="AC67" s="257"/>
      <c r="AD67" s="261"/>
      <c r="AE67" s="234"/>
      <c r="AF67" s="234"/>
      <c r="AG67" s="234"/>
      <c r="AH67" s="234"/>
      <c r="AI67" s="234"/>
      <c r="AL67" s="212" t="b">
        <f t="shared" si="24"/>
        <v>0</v>
      </c>
      <c r="AM67" s="212" t="b">
        <f t="shared" si="25"/>
        <v>0</v>
      </c>
      <c r="AN67" s="212" t="str">
        <f>IF(D67="p1",AQ67,"no")</f>
        <v>no</v>
      </c>
      <c r="AO67" s="212" t="str">
        <f>IF(D67="p2",AQ67,"no")</f>
        <v>no</v>
      </c>
      <c r="AP67" s="213"/>
      <c r="AQ67" s="212">
        <f>WEEKDAY(C67)</f>
        <v>1</v>
      </c>
      <c r="AR67" s="214" t="str">
        <f t="shared" si="6"/>
        <v>M</v>
      </c>
      <c r="AS67" s="214" t="str">
        <f t="shared" si="10"/>
        <v>M</v>
      </c>
      <c r="AT67" s="214">
        <f t="shared" si="11"/>
        <v>0.70833333333333348</v>
      </c>
      <c r="AU67" s="214" t="str">
        <f t="shared" si="12"/>
        <v>M</v>
      </c>
      <c r="AV67" s="214" t="str">
        <f t="shared" si="13"/>
        <v>M</v>
      </c>
      <c r="AW67" s="214">
        <f t="shared" si="14"/>
        <v>0.70833333333333348</v>
      </c>
      <c r="AX67" s="214" t="str">
        <f t="shared" si="15"/>
        <v>M</v>
      </c>
      <c r="AY67" s="215"/>
      <c r="AZ67" s="214">
        <f t="shared" si="8"/>
        <v>0</v>
      </c>
      <c r="BA67" s="214">
        <f t="shared" si="16"/>
        <v>0</v>
      </c>
      <c r="BB67" s="214">
        <f t="shared" si="17"/>
        <v>0</v>
      </c>
      <c r="BC67" s="214">
        <f t="shared" si="18"/>
        <v>0</v>
      </c>
      <c r="BD67" s="214">
        <f t="shared" si="19"/>
        <v>0</v>
      </c>
      <c r="BE67" s="214">
        <f t="shared" si="20"/>
        <v>0</v>
      </c>
      <c r="BF67" s="214">
        <f t="shared" si="21"/>
        <v>0</v>
      </c>
      <c r="BI67" s="217" t="str">
        <f>IF(OR(E67="",F67="",G67=""),"M",1)</f>
        <v>M</v>
      </c>
      <c r="BJ67" s="217" t="str">
        <f>IF(OR(H67="",I67="",J67=""),"M",1)</f>
        <v>M</v>
      </c>
      <c r="BK67" s="217" t="str">
        <f>IF(OR(K67="",L67="",M67=""),"M",1)</f>
        <v>M</v>
      </c>
      <c r="BL67" s="217" t="str">
        <f>IF(OR(N67="",O67="",P67=""),"M",1)</f>
        <v>M</v>
      </c>
      <c r="BM67" s="217" t="str">
        <f>IF(OR(Q67="",R67="",S67=""),"M",1)</f>
        <v>M</v>
      </c>
      <c r="BN67" s="217">
        <f>IF(AND(BI67="M",BJ67="M",BK67="M",BL67="M",BM67="M",D67=""),0,1)</f>
        <v>0</v>
      </c>
      <c r="BO67" s="216"/>
      <c r="BP67" s="216"/>
      <c r="BQ67" s="218"/>
    </row>
    <row r="68" spans="1:69" ht="17.25" customHeight="1">
      <c r="A68" s="296">
        <v>-31</v>
      </c>
      <c r="B68" s="297">
        <f t="shared" si="0"/>
        <v>45894</v>
      </c>
      <c r="C68" s="298">
        <f t="shared" si="1"/>
        <v>45894</v>
      </c>
      <c r="D68" s="242"/>
      <c r="E68" s="46"/>
      <c r="F68" s="47"/>
      <c r="G68" s="48"/>
      <c r="H68" s="46"/>
      <c r="I68" s="47"/>
      <c r="J68" s="48"/>
      <c r="K68" s="46"/>
      <c r="L68" s="47"/>
      <c r="M68" s="48"/>
      <c r="N68" s="46"/>
      <c r="O68" s="47"/>
      <c r="P68" s="48"/>
      <c r="Q68" s="46"/>
      <c r="R68" s="47"/>
      <c r="S68" s="94"/>
      <c r="T68" s="92" t="str">
        <f>IF(BN68=0,"M",IF(D68="p1",AL68,IF(D68="p2",AM68,IF(D68="A",0,((E68*F68)*G68/0.6)+((H68*I68)*J68/0.6)+((K68*L68)*M68/0.6)+((N68*O68)*P68/0.6)+((Q68*R68)*S68/0.6)))))</f>
        <v>M</v>
      </c>
      <c r="U68" s="264" t="str">
        <f t="shared" si="23"/>
        <v>M</v>
      </c>
      <c r="V68" s="91"/>
      <c r="W68" s="127"/>
      <c r="X68" s="208">
        <f t="shared" si="2"/>
        <v>0</v>
      </c>
      <c r="Y68" s="209"/>
      <c r="Z68" s="209">
        <f t="shared" si="26"/>
        <v>0</v>
      </c>
      <c r="AA68" s="209">
        <f t="shared" si="27"/>
        <v>1</v>
      </c>
      <c r="AB68" s="209"/>
      <c r="AC68" s="257"/>
      <c r="AD68" s="261"/>
      <c r="AE68" s="234"/>
      <c r="AF68" s="234"/>
      <c r="AG68" s="234"/>
      <c r="AH68" s="234"/>
      <c r="AI68" s="234"/>
      <c r="AL68" s="212" t="b">
        <f t="shared" si="24"/>
        <v>0</v>
      </c>
      <c r="AM68" s="212" t="b">
        <f t="shared" si="25"/>
        <v>0</v>
      </c>
      <c r="AN68" s="212" t="str">
        <f>IF(D68="p1",AQ68,"no")</f>
        <v>no</v>
      </c>
      <c r="AO68" s="212" t="str">
        <f>IF(D68="p2",AQ68,"no")</f>
        <v>no</v>
      </c>
      <c r="AP68" s="213"/>
      <c r="AQ68" s="212">
        <f>WEEKDAY(C68)</f>
        <v>2</v>
      </c>
      <c r="AR68" s="214" t="str">
        <f t="shared" si="6"/>
        <v>M</v>
      </c>
      <c r="AS68" s="214" t="str">
        <f t="shared" si="10"/>
        <v>M</v>
      </c>
      <c r="AT68" s="214">
        <f t="shared" si="11"/>
        <v>0.70833333333333348</v>
      </c>
      <c r="AU68" s="214" t="str">
        <f t="shared" si="12"/>
        <v>M</v>
      </c>
      <c r="AV68" s="214" t="str">
        <f t="shared" si="13"/>
        <v>M</v>
      </c>
      <c r="AW68" s="214">
        <f t="shared" si="14"/>
        <v>0.70833333333333348</v>
      </c>
      <c r="AX68" s="214" t="str">
        <f t="shared" si="15"/>
        <v>M</v>
      </c>
      <c r="AY68" s="215"/>
      <c r="AZ68" s="214">
        <f t="shared" si="8"/>
        <v>0</v>
      </c>
      <c r="BA68" s="214">
        <f t="shared" si="16"/>
        <v>0</v>
      </c>
      <c r="BB68" s="214">
        <f t="shared" si="17"/>
        <v>0</v>
      </c>
      <c r="BC68" s="214">
        <f t="shared" si="18"/>
        <v>0</v>
      </c>
      <c r="BD68" s="214">
        <f t="shared" si="19"/>
        <v>0</v>
      </c>
      <c r="BE68" s="214">
        <f t="shared" si="20"/>
        <v>0</v>
      </c>
      <c r="BF68" s="214">
        <f t="shared" si="21"/>
        <v>0</v>
      </c>
      <c r="BI68" s="217" t="str">
        <f>IF(OR(E68="",F68="",G68=""),"M",1)</f>
        <v>M</v>
      </c>
      <c r="BJ68" s="217" t="str">
        <f>IF(OR(H68="",I68="",J68=""),"M",1)</f>
        <v>M</v>
      </c>
      <c r="BK68" s="217" t="str">
        <f>IF(OR(K68="",L68="",M68=""),"M",1)</f>
        <v>M</v>
      </c>
      <c r="BL68" s="217" t="str">
        <f>IF(OR(N68="",O68="",P68=""),"M",1)</f>
        <v>M</v>
      </c>
      <c r="BM68" s="217" t="str">
        <f>IF(OR(Q68="",R68="",S68=""),"M",1)</f>
        <v>M</v>
      </c>
      <c r="BN68" s="217">
        <f>IF(AND(BI68="M",BJ68="M",BK68="M",BL68="M",BM68="M",D68=""),0,1)</f>
        <v>0</v>
      </c>
      <c r="BO68" s="216"/>
      <c r="BP68" s="216"/>
      <c r="BQ68" s="218"/>
    </row>
    <row r="69" spans="1:69" ht="17.25" customHeight="1">
      <c r="A69" s="296">
        <v>-30</v>
      </c>
      <c r="B69" s="297">
        <f t="shared" si="0"/>
        <v>45895</v>
      </c>
      <c r="C69" s="298">
        <f t="shared" si="1"/>
        <v>45895</v>
      </c>
      <c r="D69" s="241"/>
      <c r="E69" s="46"/>
      <c r="F69" s="47"/>
      <c r="G69" s="48"/>
      <c r="H69" s="46"/>
      <c r="I69" s="47"/>
      <c r="J69" s="48"/>
      <c r="K69" s="46"/>
      <c r="L69" s="47"/>
      <c r="M69" s="48"/>
      <c r="N69" s="46"/>
      <c r="O69" s="47"/>
      <c r="P69" s="48"/>
      <c r="Q69" s="46"/>
      <c r="R69" s="47"/>
      <c r="S69" s="94"/>
      <c r="T69" s="92" t="str">
        <f>IF(BN69=0,"M",IF(D69="p1",AL69,IF(D69="p2",AM69,IF(D69="A",0,((E69*F69)*G69/0.6)+((H69*I69)*J69/0.6)+((K69*L69)*M69/0.6)+((N69*O69)*P69/0.6)+((Q69*R69)*S69/0.6)))))</f>
        <v>M</v>
      </c>
      <c r="U69" s="264" t="str">
        <f t="shared" si="23"/>
        <v>M</v>
      </c>
      <c r="V69" s="91"/>
      <c r="W69" s="127"/>
      <c r="X69" s="208">
        <f t="shared" si="2"/>
        <v>0</v>
      </c>
      <c r="Y69" s="209"/>
      <c r="Z69" s="209">
        <f t="shared" si="26"/>
        <v>0</v>
      </c>
      <c r="AA69" s="209">
        <f t="shared" si="27"/>
        <v>1</v>
      </c>
      <c r="AB69" s="209"/>
      <c r="AC69" s="257"/>
      <c r="AD69" s="261"/>
      <c r="AE69" s="234"/>
      <c r="AF69" s="234"/>
      <c r="AG69" s="234"/>
      <c r="AH69" s="234"/>
      <c r="AI69" s="234"/>
      <c r="AL69" s="212" t="b">
        <f t="shared" si="24"/>
        <v>0</v>
      </c>
      <c r="AM69" s="212" t="b">
        <f t="shared" si="25"/>
        <v>0</v>
      </c>
      <c r="AN69" s="212" t="str">
        <f>IF(D69="p1",AQ69,"no")</f>
        <v>no</v>
      </c>
      <c r="AO69" s="212" t="str">
        <f>IF(D69="p2",AQ69,"no")</f>
        <v>no</v>
      </c>
      <c r="AP69" s="213"/>
      <c r="AQ69" s="212">
        <f>WEEKDAY(C69)</f>
        <v>3</v>
      </c>
      <c r="AR69" s="214" t="str">
        <f t="shared" si="6"/>
        <v>M</v>
      </c>
      <c r="AS69" s="214" t="str">
        <f t="shared" si="10"/>
        <v>M</v>
      </c>
      <c r="AT69" s="214">
        <f t="shared" si="11"/>
        <v>0.70833333333333348</v>
      </c>
      <c r="AU69" s="214" t="str">
        <f t="shared" si="12"/>
        <v>M</v>
      </c>
      <c r="AV69" s="214" t="str">
        <f t="shared" si="13"/>
        <v>M</v>
      </c>
      <c r="AW69" s="214">
        <f t="shared" si="14"/>
        <v>0.70833333333333348</v>
      </c>
      <c r="AX69" s="214" t="str">
        <f t="shared" si="15"/>
        <v>M</v>
      </c>
      <c r="AY69" s="215"/>
      <c r="AZ69" s="214">
        <f t="shared" si="8"/>
        <v>0</v>
      </c>
      <c r="BA69" s="214">
        <f t="shared" si="16"/>
        <v>0</v>
      </c>
      <c r="BB69" s="214">
        <f t="shared" si="17"/>
        <v>0</v>
      </c>
      <c r="BC69" s="214">
        <f t="shared" si="18"/>
        <v>0</v>
      </c>
      <c r="BD69" s="214">
        <f t="shared" si="19"/>
        <v>0</v>
      </c>
      <c r="BE69" s="214">
        <f t="shared" si="20"/>
        <v>0</v>
      </c>
      <c r="BF69" s="214">
        <f t="shared" si="21"/>
        <v>0</v>
      </c>
      <c r="BI69" s="217" t="str">
        <f>IF(OR(E69="",F69="",G69=""),"M",1)</f>
        <v>M</v>
      </c>
      <c r="BJ69" s="217" t="str">
        <f>IF(OR(H69="",I69="",J69=""),"M",1)</f>
        <v>M</v>
      </c>
      <c r="BK69" s="217" t="str">
        <f>IF(OR(K69="",L69="",M69=""),"M",1)</f>
        <v>M</v>
      </c>
      <c r="BL69" s="217" t="str">
        <f>IF(OR(N69="",O69="",P69=""),"M",1)</f>
        <v>M</v>
      </c>
      <c r="BM69" s="217" t="str">
        <f>IF(OR(Q69="",R69="",S69=""),"M",1)</f>
        <v>M</v>
      </c>
      <c r="BN69" s="217">
        <f>IF(AND(BI69="M",BJ69="M",BK69="M",BL69="M",BM69="M",D69=""),0,1)</f>
        <v>0</v>
      </c>
      <c r="BO69" s="216"/>
      <c r="BP69" s="216"/>
      <c r="BQ69" s="218"/>
    </row>
    <row r="70" spans="1:69" ht="17.25" customHeight="1">
      <c r="A70" s="296">
        <v>-29</v>
      </c>
      <c r="B70" s="297">
        <f t="shared" si="0"/>
        <v>45896</v>
      </c>
      <c r="C70" s="298">
        <f t="shared" si="1"/>
        <v>45896</v>
      </c>
      <c r="D70" s="242"/>
      <c r="E70" s="46"/>
      <c r="F70" s="47"/>
      <c r="G70" s="48"/>
      <c r="H70" s="46"/>
      <c r="I70" s="47"/>
      <c r="J70" s="48"/>
      <c r="K70" s="46"/>
      <c r="L70" s="47"/>
      <c r="M70" s="48"/>
      <c r="N70" s="46"/>
      <c r="O70" s="47"/>
      <c r="P70" s="48"/>
      <c r="Q70" s="46"/>
      <c r="R70" s="47"/>
      <c r="S70" s="94"/>
      <c r="T70" s="92" t="str">
        <f>IF(BN70=0,"M",IF(D70="p1",AL70,IF(D70="p2",AM70,IF(D70="A",0,((E70*F70)*G70/0.6)+((H70*I70)*J70/0.6)+((K70*L70)*M70/0.6)+((N70*O70)*P70/0.6)+((Q70*R70)*S70/0.6)))))</f>
        <v>M</v>
      </c>
      <c r="U70" s="264" t="str">
        <f t="shared" si="23"/>
        <v>M</v>
      </c>
      <c r="V70" s="91"/>
      <c r="W70" s="127"/>
      <c r="X70" s="208">
        <f t="shared" si="2"/>
        <v>0</v>
      </c>
      <c r="Y70" s="209"/>
      <c r="Z70" s="209">
        <f t="shared" si="26"/>
        <v>0</v>
      </c>
      <c r="AA70" s="209">
        <f t="shared" si="27"/>
        <v>1</v>
      </c>
      <c r="AB70" s="209"/>
      <c r="AC70" s="257"/>
      <c r="AD70" s="261"/>
      <c r="AE70" s="234"/>
      <c r="AF70" s="234"/>
      <c r="AG70" s="234"/>
      <c r="AH70" s="234"/>
      <c r="AI70" s="234"/>
      <c r="AL70" s="212" t="b">
        <f t="shared" si="24"/>
        <v>0</v>
      </c>
      <c r="AM70" s="212" t="b">
        <f t="shared" si="25"/>
        <v>0</v>
      </c>
      <c r="AN70" s="212" t="str">
        <f>IF(D70="p1",AQ70,"no")</f>
        <v>no</v>
      </c>
      <c r="AO70" s="212" t="str">
        <f>IF(D70="p2",AQ70,"no")</f>
        <v>no</v>
      </c>
      <c r="AP70" s="213"/>
      <c r="AQ70" s="212">
        <f>WEEKDAY(C70)</f>
        <v>4</v>
      </c>
      <c r="AR70" s="214" t="str">
        <f t="shared" si="6"/>
        <v>M</v>
      </c>
      <c r="AS70" s="214" t="str">
        <f t="shared" si="10"/>
        <v>M</v>
      </c>
      <c r="AT70" s="214">
        <f t="shared" si="11"/>
        <v>0.70833333333333348</v>
      </c>
      <c r="AU70" s="214" t="str">
        <f t="shared" si="12"/>
        <v>M</v>
      </c>
      <c r="AV70" s="214" t="str">
        <f t="shared" si="13"/>
        <v>M</v>
      </c>
      <c r="AW70" s="214">
        <f t="shared" si="14"/>
        <v>0.70833333333333348</v>
      </c>
      <c r="AX70" s="214" t="str">
        <f t="shared" si="15"/>
        <v>M</v>
      </c>
      <c r="AY70" s="215"/>
      <c r="AZ70" s="214">
        <f t="shared" si="8"/>
        <v>0</v>
      </c>
      <c r="BA70" s="214">
        <f t="shared" si="16"/>
        <v>0</v>
      </c>
      <c r="BB70" s="214">
        <f t="shared" si="17"/>
        <v>0</v>
      </c>
      <c r="BC70" s="214">
        <f t="shared" si="18"/>
        <v>0</v>
      </c>
      <c r="BD70" s="214">
        <f t="shared" si="19"/>
        <v>0</v>
      </c>
      <c r="BE70" s="214">
        <f t="shared" si="20"/>
        <v>0</v>
      </c>
      <c r="BF70" s="214">
        <f t="shared" si="21"/>
        <v>0</v>
      </c>
      <c r="BI70" s="217" t="str">
        <f>IF(OR(E70="",F70="",G70=""),"M",1)</f>
        <v>M</v>
      </c>
      <c r="BJ70" s="217" t="str">
        <f>IF(OR(H70="",I70="",J70=""),"M",1)</f>
        <v>M</v>
      </c>
      <c r="BK70" s="217" t="str">
        <f>IF(OR(K70="",L70="",M70=""),"M",1)</f>
        <v>M</v>
      </c>
      <c r="BL70" s="217" t="str">
        <f>IF(OR(N70="",O70="",P70=""),"M",1)</f>
        <v>M</v>
      </c>
      <c r="BM70" s="217" t="str">
        <f>IF(OR(Q70="",R70="",S70=""),"M",1)</f>
        <v>M</v>
      </c>
      <c r="BN70" s="217">
        <f>IF(AND(BI70="M",BJ70="M",BK70="M",BL70="M",BM70="M",D70=""),0,1)</f>
        <v>0</v>
      </c>
      <c r="BO70" s="216"/>
      <c r="BP70" s="216"/>
      <c r="BQ70" s="218"/>
    </row>
    <row r="71" spans="1:69" ht="17.25" customHeight="1">
      <c r="A71" s="296">
        <v>-28</v>
      </c>
      <c r="B71" s="297">
        <f t="shared" si="0"/>
        <v>45897</v>
      </c>
      <c r="C71" s="298">
        <f t="shared" si="1"/>
        <v>45897</v>
      </c>
      <c r="D71" s="241"/>
      <c r="E71" s="46"/>
      <c r="F71" s="47"/>
      <c r="G71" s="48"/>
      <c r="H71" s="46"/>
      <c r="I71" s="47"/>
      <c r="J71" s="48"/>
      <c r="K71" s="46"/>
      <c r="L71" s="47"/>
      <c r="M71" s="48"/>
      <c r="N71" s="46"/>
      <c r="O71" s="47"/>
      <c r="P71" s="48"/>
      <c r="Q71" s="46"/>
      <c r="R71" s="47"/>
      <c r="S71" s="94"/>
      <c r="T71" s="92" t="str">
        <f>IF(BN71=0,"M",IF(D71="p1",AL71,IF(D71="p2",AM71,IF(D71="A",0,((E71*F71)*G71/0.6)+((H71*I71)*J71/0.6)+((K71*L71)*M71/0.6)+((N71*O71)*P71/0.6)+((Q71*R71)*S71/0.6)))))</f>
        <v>M</v>
      </c>
      <c r="U71" s="264" t="str">
        <f t="shared" si="23"/>
        <v>M</v>
      </c>
      <c r="V71" s="91"/>
      <c r="W71" s="127"/>
      <c r="X71" s="208">
        <f t="shared" si="2"/>
        <v>0</v>
      </c>
      <c r="Y71" s="209"/>
      <c r="Z71" s="209">
        <f t="shared" si="26"/>
        <v>0</v>
      </c>
      <c r="AA71" s="209">
        <f t="shared" si="27"/>
        <v>1</v>
      </c>
      <c r="AB71" s="209"/>
      <c r="AC71" s="257"/>
      <c r="AD71" s="261"/>
      <c r="AE71" s="234"/>
      <c r="AF71" s="234"/>
      <c r="AG71" s="234"/>
      <c r="AH71" s="234"/>
      <c r="AI71" s="234"/>
      <c r="AL71" s="212" t="b">
        <f t="shared" si="24"/>
        <v>0</v>
      </c>
      <c r="AM71" s="212" t="b">
        <f t="shared" si="25"/>
        <v>0</v>
      </c>
      <c r="AN71" s="212" t="str">
        <f>IF(D71="p1",AQ71,"no")</f>
        <v>no</v>
      </c>
      <c r="AO71" s="212" t="str">
        <f>IF(D71="p2",AQ71,"no")</f>
        <v>no</v>
      </c>
      <c r="AP71" s="213"/>
      <c r="AQ71" s="212">
        <f>WEEKDAY(C71)</f>
        <v>5</v>
      </c>
      <c r="AR71" s="214" t="str">
        <f t="shared" si="6"/>
        <v>M</v>
      </c>
      <c r="AS71" s="214" t="str">
        <f t="shared" si="10"/>
        <v>M</v>
      </c>
      <c r="AT71" s="214">
        <f t="shared" si="11"/>
        <v>0.70833333333333348</v>
      </c>
      <c r="AU71" s="214" t="str">
        <f t="shared" si="12"/>
        <v>M</v>
      </c>
      <c r="AV71" s="214" t="str">
        <f t="shared" si="13"/>
        <v>M</v>
      </c>
      <c r="AW71" s="214">
        <f t="shared" si="14"/>
        <v>0.70833333333333348</v>
      </c>
      <c r="AX71" s="214" t="str">
        <f t="shared" si="15"/>
        <v>M</v>
      </c>
      <c r="AY71" s="215"/>
      <c r="AZ71" s="214">
        <f t="shared" si="8"/>
        <v>0</v>
      </c>
      <c r="BA71" s="214">
        <f t="shared" si="16"/>
        <v>0</v>
      </c>
      <c r="BB71" s="214">
        <f t="shared" si="17"/>
        <v>0</v>
      </c>
      <c r="BC71" s="214">
        <f t="shared" si="18"/>
        <v>0</v>
      </c>
      <c r="BD71" s="214">
        <f t="shared" si="19"/>
        <v>0</v>
      </c>
      <c r="BE71" s="214">
        <f t="shared" si="20"/>
        <v>0</v>
      </c>
      <c r="BF71" s="214">
        <f t="shared" si="21"/>
        <v>0</v>
      </c>
      <c r="BI71" s="217" t="str">
        <f>IF(OR(E71="",F71="",G71=""),"M",1)</f>
        <v>M</v>
      </c>
      <c r="BJ71" s="217" t="str">
        <f>IF(OR(H71="",I71="",J71=""),"M",1)</f>
        <v>M</v>
      </c>
      <c r="BK71" s="217" t="str">
        <f>IF(OR(K71="",L71="",M71=""),"M",1)</f>
        <v>M</v>
      </c>
      <c r="BL71" s="217" t="str">
        <f>IF(OR(N71="",O71="",P71=""),"M",1)</f>
        <v>M</v>
      </c>
      <c r="BM71" s="217" t="str">
        <f>IF(OR(Q71="",R71="",S71=""),"M",1)</f>
        <v>M</v>
      </c>
      <c r="BN71" s="217">
        <f>IF(AND(BI71="M",BJ71="M",BK71="M",BL71="M",BM71="M",D71=""),0,1)</f>
        <v>0</v>
      </c>
      <c r="BO71" s="216"/>
      <c r="BP71" s="216"/>
      <c r="BQ71" s="218"/>
    </row>
    <row r="72" spans="1:69" ht="17.25" customHeight="1">
      <c r="A72" s="296">
        <v>-27</v>
      </c>
      <c r="B72" s="297">
        <f t="shared" si="0"/>
        <v>45898</v>
      </c>
      <c r="C72" s="298">
        <f t="shared" si="1"/>
        <v>45898</v>
      </c>
      <c r="D72" s="242"/>
      <c r="E72" s="46"/>
      <c r="F72" s="47"/>
      <c r="G72" s="48"/>
      <c r="H72" s="46"/>
      <c r="I72" s="47"/>
      <c r="J72" s="48"/>
      <c r="K72" s="46"/>
      <c r="L72" s="47"/>
      <c r="M72" s="48"/>
      <c r="N72" s="46"/>
      <c r="O72" s="47"/>
      <c r="P72" s="48"/>
      <c r="Q72" s="46"/>
      <c r="R72" s="47"/>
      <c r="S72" s="94"/>
      <c r="T72" s="92" t="str">
        <f>IF(BN72=0,"M",IF(D72="p1",AL72,IF(D72="p2",AM72,IF(D72="A",0,((E72*F72)*G72/0.6)+((H72*I72)*J72/0.6)+((K72*L72)*M72/0.6)+((N72*O72)*P72/0.6)+((Q72*R72)*S72/0.6)))))</f>
        <v>M</v>
      </c>
      <c r="U72" s="264" t="str">
        <f t="shared" si="23"/>
        <v>M</v>
      </c>
      <c r="V72" s="91"/>
      <c r="W72" s="127"/>
      <c r="X72" s="208">
        <f t="shared" si="2"/>
        <v>0</v>
      </c>
      <c r="Y72" s="209"/>
      <c r="Z72" s="209">
        <f t="shared" si="26"/>
        <v>0</v>
      </c>
      <c r="AA72" s="209">
        <f t="shared" si="27"/>
        <v>1</v>
      </c>
      <c r="AB72" s="209"/>
      <c r="AC72" s="257"/>
      <c r="AD72" s="261"/>
      <c r="AE72" s="234"/>
      <c r="AF72" s="234"/>
      <c r="AG72" s="234"/>
      <c r="AH72" s="234"/>
      <c r="AI72" s="234"/>
      <c r="AL72" s="212" t="b">
        <f t="shared" si="24"/>
        <v>0</v>
      </c>
      <c r="AM72" s="212" t="b">
        <f t="shared" si="25"/>
        <v>0</v>
      </c>
      <c r="AN72" s="212" t="str">
        <f>IF(D72="p1",AQ72,"no")</f>
        <v>no</v>
      </c>
      <c r="AO72" s="212" t="str">
        <f>IF(D72="p2",AQ72,"no")</f>
        <v>no</v>
      </c>
      <c r="AP72" s="213"/>
      <c r="AQ72" s="212">
        <f>WEEKDAY(C72)</f>
        <v>6</v>
      </c>
      <c r="AR72" s="214" t="str">
        <f t="shared" si="6"/>
        <v>M</v>
      </c>
      <c r="AS72" s="214" t="str">
        <f t="shared" si="10"/>
        <v>M</v>
      </c>
      <c r="AT72" s="214">
        <f t="shared" si="11"/>
        <v>0.70833333333333348</v>
      </c>
      <c r="AU72" s="214" t="str">
        <f t="shared" si="12"/>
        <v>M</v>
      </c>
      <c r="AV72" s="214" t="str">
        <f t="shared" si="13"/>
        <v>M</v>
      </c>
      <c r="AW72" s="214">
        <f t="shared" si="14"/>
        <v>0.70833333333333348</v>
      </c>
      <c r="AX72" s="214" t="str">
        <f t="shared" si="15"/>
        <v>M</v>
      </c>
      <c r="AY72" s="215"/>
      <c r="AZ72" s="214">
        <f t="shared" si="8"/>
        <v>0</v>
      </c>
      <c r="BA72" s="214">
        <f t="shared" si="16"/>
        <v>0</v>
      </c>
      <c r="BB72" s="214">
        <f t="shared" si="17"/>
        <v>0</v>
      </c>
      <c r="BC72" s="214">
        <f t="shared" si="18"/>
        <v>0</v>
      </c>
      <c r="BD72" s="214">
        <f t="shared" si="19"/>
        <v>0</v>
      </c>
      <c r="BE72" s="214">
        <f t="shared" si="20"/>
        <v>0</v>
      </c>
      <c r="BF72" s="214">
        <f t="shared" si="21"/>
        <v>0</v>
      </c>
      <c r="BI72" s="217" t="str">
        <f>IF(OR(E72="",F72="",G72=""),"M",1)</f>
        <v>M</v>
      </c>
      <c r="BJ72" s="217" t="str">
        <f>IF(OR(H72="",I72="",J72=""),"M",1)</f>
        <v>M</v>
      </c>
      <c r="BK72" s="217" t="str">
        <f>IF(OR(K72="",L72="",M72=""),"M",1)</f>
        <v>M</v>
      </c>
      <c r="BL72" s="217" t="str">
        <f>IF(OR(N72="",O72="",P72=""),"M",1)</f>
        <v>M</v>
      </c>
      <c r="BM72" s="217" t="str">
        <f>IF(OR(Q72="",R72="",S72=""),"M",1)</f>
        <v>M</v>
      </c>
      <c r="BN72" s="217">
        <f>IF(AND(BI72="M",BJ72="M",BK72="M",BL72="M",BM72="M",D72=""),0,1)</f>
        <v>0</v>
      </c>
      <c r="BO72" s="216"/>
      <c r="BP72" s="216"/>
      <c r="BQ72" s="218"/>
    </row>
    <row r="73" spans="1:69" ht="17.25" customHeight="1">
      <c r="A73" s="296">
        <v>-26</v>
      </c>
      <c r="B73" s="297">
        <f t="shared" ref="B73:B96" si="28">B74-1</f>
        <v>45899</v>
      </c>
      <c r="C73" s="298">
        <f t="shared" ref="C73:C96" si="29">C74-1</f>
        <v>45899</v>
      </c>
      <c r="D73" s="241"/>
      <c r="E73" s="46"/>
      <c r="F73" s="47"/>
      <c r="G73" s="48"/>
      <c r="H73" s="46"/>
      <c r="I73" s="47"/>
      <c r="J73" s="48"/>
      <c r="K73" s="46"/>
      <c r="L73" s="47"/>
      <c r="M73" s="48"/>
      <c r="N73" s="46"/>
      <c r="O73" s="47"/>
      <c r="P73" s="48"/>
      <c r="Q73" s="46"/>
      <c r="R73" s="47"/>
      <c r="S73" s="94"/>
      <c r="T73" s="92" t="str">
        <f>IF(BN73=0,"M",IF(D73="p1",AL73,IF(D73="p2",AM73,IF(D73="A",0,((E73*F73)*G73/0.6)+((H73*I73)*J73/0.6)+((K73*L73)*M73/0.6)+((N73*O73)*P73/0.6)+((Q73*R73)*S73/0.6)))))</f>
        <v>M</v>
      </c>
      <c r="U73" s="264" t="str">
        <f t="shared" si="23"/>
        <v>M</v>
      </c>
      <c r="V73" s="91"/>
      <c r="W73" s="127"/>
      <c r="X73" s="208">
        <f t="shared" si="2"/>
        <v>0</v>
      </c>
      <c r="Y73" s="209"/>
      <c r="Z73" s="209">
        <f t="shared" si="26"/>
        <v>0</v>
      </c>
      <c r="AA73" s="209">
        <f t="shared" si="27"/>
        <v>1</v>
      </c>
      <c r="AB73" s="209"/>
      <c r="AC73" s="257"/>
      <c r="AD73" s="261"/>
      <c r="AE73" s="234"/>
      <c r="AF73" s="234"/>
      <c r="AG73" s="234"/>
      <c r="AH73" s="234"/>
      <c r="AI73" s="234"/>
      <c r="AL73" s="212" t="b">
        <f t="shared" si="24"/>
        <v>0</v>
      </c>
      <c r="AM73" s="212" t="b">
        <f t="shared" si="25"/>
        <v>0</v>
      </c>
      <c r="AN73" s="212" t="str">
        <f>IF(D73="p1",AQ73,"no")</f>
        <v>no</v>
      </c>
      <c r="AO73" s="212" t="str">
        <f>IF(D73="p2",AQ73,"no")</f>
        <v>no</v>
      </c>
      <c r="AP73" s="213"/>
      <c r="AQ73" s="212">
        <f>WEEKDAY(C73)</f>
        <v>7</v>
      </c>
      <c r="AR73" s="214" t="str">
        <f t="shared" si="6"/>
        <v>M</v>
      </c>
      <c r="AS73" s="214" t="str">
        <f t="shared" si="10"/>
        <v>M</v>
      </c>
      <c r="AT73" s="214">
        <f t="shared" si="11"/>
        <v>0.70833333333333348</v>
      </c>
      <c r="AU73" s="214" t="str">
        <f t="shared" si="12"/>
        <v>M</v>
      </c>
      <c r="AV73" s="214" t="str">
        <f t="shared" si="13"/>
        <v>M</v>
      </c>
      <c r="AW73" s="214">
        <f t="shared" si="14"/>
        <v>0.70833333333333348</v>
      </c>
      <c r="AX73" s="214" t="str">
        <f t="shared" si="15"/>
        <v>M</v>
      </c>
      <c r="AY73" s="215"/>
      <c r="AZ73" s="214">
        <f t="shared" si="8"/>
        <v>0</v>
      </c>
      <c r="BA73" s="214">
        <f t="shared" si="16"/>
        <v>0</v>
      </c>
      <c r="BB73" s="214">
        <f t="shared" si="17"/>
        <v>0</v>
      </c>
      <c r="BC73" s="214">
        <f t="shared" si="18"/>
        <v>0</v>
      </c>
      <c r="BD73" s="214">
        <f t="shared" si="19"/>
        <v>0</v>
      </c>
      <c r="BE73" s="214">
        <f t="shared" si="20"/>
        <v>0</v>
      </c>
      <c r="BF73" s="214">
        <f t="shared" si="21"/>
        <v>0</v>
      </c>
      <c r="BI73" s="217" t="str">
        <f>IF(OR(E73="",F73="",G73=""),"M",1)</f>
        <v>M</v>
      </c>
      <c r="BJ73" s="217" t="str">
        <f>IF(OR(H73="",I73="",J73=""),"M",1)</f>
        <v>M</v>
      </c>
      <c r="BK73" s="217" t="str">
        <f>IF(OR(K73="",L73="",M73=""),"M",1)</f>
        <v>M</v>
      </c>
      <c r="BL73" s="217" t="str">
        <f>IF(OR(N73="",O73="",P73=""),"M",1)</f>
        <v>M</v>
      </c>
      <c r="BM73" s="217" t="str">
        <f>IF(OR(Q73="",R73="",S73=""),"M",1)</f>
        <v>M</v>
      </c>
      <c r="BN73" s="217">
        <f>IF(AND(BI73="M",BJ73="M",BK73="M",BL73="M",BM73="M",D73=""),0,1)</f>
        <v>0</v>
      </c>
      <c r="BO73" s="216"/>
      <c r="BP73" s="216"/>
      <c r="BQ73" s="218"/>
    </row>
    <row r="74" spans="1:69" ht="17.25" customHeight="1">
      <c r="A74" s="296">
        <v>-25</v>
      </c>
      <c r="B74" s="297">
        <f t="shared" si="28"/>
        <v>45900</v>
      </c>
      <c r="C74" s="298">
        <f t="shared" si="29"/>
        <v>45900</v>
      </c>
      <c r="D74" s="242"/>
      <c r="E74" s="46"/>
      <c r="F74" s="47"/>
      <c r="G74" s="48"/>
      <c r="H74" s="46"/>
      <c r="I74" s="47"/>
      <c r="J74" s="48"/>
      <c r="K74" s="46"/>
      <c r="L74" s="47"/>
      <c r="M74" s="48"/>
      <c r="N74" s="46"/>
      <c r="O74" s="47"/>
      <c r="P74" s="48"/>
      <c r="Q74" s="46"/>
      <c r="R74" s="47"/>
      <c r="S74" s="94"/>
      <c r="T74" s="92" t="str">
        <f>IF(BN74=0,"M",IF(D74="p1",AL74,IF(D74="p2",AM74,IF(D74="A",0,((E74*F74)*G74/0.6)+((H74*I74)*J74/0.6)+((K74*L74)*M74/0.6)+((N74*O74)*P74/0.6)+((Q74*R74)*S74/0.6)))))</f>
        <v>M</v>
      </c>
      <c r="U74" s="264" t="str">
        <f t="shared" si="23"/>
        <v>M</v>
      </c>
      <c r="V74" s="91"/>
      <c r="W74" s="127"/>
      <c r="X74" s="208">
        <f t="shared" si="2"/>
        <v>0</v>
      </c>
      <c r="Y74" s="209"/>
      <c r="Z74" s="209">
        <f t="shared" si="26"/>
        <v>0</v>
      </c>
      <c r="AA74" s="209">
        <f t="shared" si="27"/>
        <v>1</v>
      </c>
      <c r="AB74" s="209"/>
      <c r="AC74" s="257"/>
      <c r="AD74" s="261"/>
      <c r="AE74" s="234"/>
      <c r="AF74" s="234"/>
      <c r="AG74" s="234"/>
      <c r="AH74" s="234"/>
      <c r="AI74" s="234"/>
      <c r="AL74" s="212" t="b">
        <f t="shared" si="24"/>
        <v>0</v>
      </c>
      <c r="AM74" s="212" t="b">
        <f t="shared" si="25"/>
        <v>0</v>
      </c>
      <c r="AN74" s="212" t="str">
        <f>IF(D74="p1",AQ74,"no")</f>
        <v>no</v>
      </c>
      <c r="AO74" s="212" t="str">
        <f>IF(D74="p2",AQ74,"no")</f>
        <v>no</v>
      </c>
      <c r="AP74" s="213"/>
      <c r="AQ74" s="212">
        <f>WEEKDAY(C74)</f>
        <v>1</v>
      </c>
      <c r="AR74" s="214" t="str">
        <f t="shared" si="6"/>
        <v>M</v>
      </c>
      <c r="AS74" s="214" t="str">
        <f t="shared" si="10"/>
        <v>M</v>
      </c>
      <c r="AT74" s="214">
        <f t="shared" si="11"/>
        <v>0.70833333333333348</v>
      </c>
      <c r="AU74" s="214" t="str">
        <f t="shared" si="12"/>
        <v>M</v>
      </c>
      <c r="AV74" s="214" t="str">
        <f t="shared" si="13"/>
        <v>M</v>
      </c>
      <c r="AW74" s="214">
        <f t="shared" si="14"/>
        <v>0.70833333333333348</v>
      </c>
      <c r="AX74" s="214" t="str">
        <f t="shared" si="15"/>
        <v>M</v>
      </c>
      <c r="AY74" s="215"/>
      <c r="AZ74" s="214">
        <f t="shared" si="8"/>
        <v>0</v>
      </c>
      <c r="BA74" s="214">
        <f t="shared" si="16"/>
        <v>0</v>
      </c>
      <c r="BB74" s="214">
        <f t="shared" si="17"/>
        <v>0</v>
      </c>
      <c r="BC74" s="214">
        <f t="shared" si="18"/>
        <v>0</v>
      </c>
      <c r="BD74" s="214">
        <f t="shared" si="19"/>
        <v>0</v>
      </c>
      <c r="BE74" s="214">
        <f t="shared" si="20"/>
        <v>0</v>
      </c>
      <c r="BF74" s="214">
        <f t="shared" si="21"/>
        <v>0</v>
      </c>
      <c r="BI74" s="217" t="str">
        <f>IF(OR(E74="",F74="",G74=""),"M",1)</f>
        <v>M</v>
      </c>
      <c r="BJ74" s="217" t="str">
        <f>IF(OR(H74="",I74="",J74=""),"M",1)</f>
        <v>M</v>
      </c>
      <c r="BK74" s="217" t="str">
        <f>IF(OR(K74="",L74="",M74=""),"M",1)</f>
        <v>M</v>
      </c>
      <c r="BL74" s="217" t="str">
        <f>IF(OR(N74="",O74="",P74=""),"M",1)</f>
        <v>M</v>
      </c>
      <c r="BM74" s="217" t="str">
        <f>IF(OR(Q74="",R74="",S74=""),"M",1)</f>
        <v>M</v>
      </c>
      <c r="BN74" s="217">
        <f>IF(AND(BI74="M",BJ74="M",BK74="M",BL74="M",BM74="M",D74=""),0,1)</f>
        <v>0</v>
      </c>
      <c r="BO74" s="216"/>
      <c r="BP74" s="216"/>
      <c r="BQ74" s="218"/>
    </row>
    <row r="75" spans="1:69" ht="17.25" customHeight="1">
      <c r="A75" s="296">
        <v>-24</v>
      </c>
      <c r="B75" s="297">
        <f t="shared" si="28"/>
        <v>45901</v>
      </c>
      <c r="C75" s="298">
        <f t="shared" si="29"/>
        <v>45901</v>
      </c>
      <c r="D75" s="241"/>
      <c r="E75" s="46"/>
      <c r="F75" s="47"/>
      <c r="G75" s="48"/>
      <c r="H75" s="46"/>
      <c r="I75" s="47"/>
      <c r="J75" s="48"/>
      <c r="K75" s="46"/>
      <c r="L75" s="47"/>
      <c r="M75" s="48"/>
      <c r="N75" s="46"/>
      <c r="O75" s="47"/>
      <c r="P75" s="48"/>
      <c r="Q75" s="46"/>
      <c r="R75" s="47"/>
      <c r="S75" s="94"/>
      <c r="T75" s="92" t="str">
        <f>IF(BN75=0,"M",IF(D75="p1",AL75,IF(D75="p2",AM75,IF(D75="A",0,((E75*F75)*G75/0.6)+((H75*I75)*J75/0.6)+((K75*L75)*M75/0.6)+((N75*O75)*P75/0.6)+((Q75*R75)*S75/0.6)))))</f>
        <v>M</v>
      </c>
      <c r="U75" s="264" t="str">
        <f t="shared" si="23"/>
        <v>M</v>
      </c>
      <c r="V75" s="91"/>
      <c r="W75" s="127"/>
      <c r="X75" s="208">
        <f t="shared" si="2"/>
        <v>0</v>
      </c>
      <c r="Y75" s="209"/>
      <c r="Z75" s="209">
        <f t="shared" si="26"/>
        <v>0</v>
      </c>
      <c r="AA75" s="209">
        <f t="shared" si="27"/>
        <v>1</v>
      </c>
      <c r="AB75" s="209"/>
      <c r="AC75" s="257"/>
      <c r="AD75" s="261"/>
      <c r="AE75" s="234"/>
      <c r="AF75" s="234"/>
      <c r="AG75" s="234"/>
      <c r="AH75" s="234"/>
      <c r="AI75" s="234"/>
      <c r="AL75" s="212" t="b">
        <f t="shared" si="24"/>
        <v>0</v>
      </c>
      <c r="AM75" s="212" t="b">
        <f t="shared" si="25"/>
        <v>0</v>
      </c>
      <c r="AN75" s="212" t="str">
        <f>IF(D75="p1",AQ75,"no")</f>
        <v>no</v>
      </c>
      <c r="AO75" s="212" t="str">
        <f>IF(D75="p2",AQ75,"no")</f>
        <v>no</v>
      </c>
      <c r="AP75" s="213"/>
      <c r="AQ75" s="212">
        <f>WEEKDAY(C75)</f>
        <v>2</v>
      </c>
      <c r="AR75" s="214" t="str">
        <f t="shared" si="6"/>
        <v>M</v>
      </c>
      <c r="AS75" s="214" t="str">
        <f t="shared" si="10"/>
        <v>M</v>
      </c>
      <c r="AT75" s="214">
        <f t="shared" si="11"/>
        <v>0.70833333333333348</v>
      </c>
      <c r="AU75" s="214" t="str">
        <f t="shared" si="12"/>
        <v>M</v>
      </c>
      <c r="AV75" s="214" t="str">
        <f t="shared" si="13"/>
        <v>M</v>
      </c>
      <c r="AW75" s="214">
        <f t="shared" si="14"/>
        <v>0.70833333333333348</v>
      </c>
      <c r="AX75" s="214" t="str">
        <f t="shared" si="15"/>
        <v>M</v>
      </c>
      <c r="AY75" s="215"/>
      <c r="AZ75" s="214">
        <f t="shared" si="8"/>
        <v>0</v>
      </c>
      <c r="BA75" s="214">
        <f t="shared" si="16"/>
        <v>0</v>
      </c>
      <c r="BB75" s="214">
        <f t="shared" si="17"/>
        <v>0</v>
      </c>
      <c r="BC75" s="214">
        <f t="shared" si="18"/>
        <v>0</v>
      </c>
      <c r="BD75" s="214">
        <f t="shared" si="19"/>
        <v>0</v>
      </c>
      <c r="BE75" s="214">
        <f t="shared" si="20"/>
        <v>0</v>
      </c>
      <c r="BF75" s="214">
        <f t="shared" si="21"/>
        <v>0</v>
      </c>
      <c r="BI75" s="217" t="str">
        <f>IF(OR(E75="",F75="",G75=""),"M",1)</f>
        <v>M</v>
      </c>
      <c r="BJ75" s="217" t="str">
        <f>IF(OR(H75="",I75="",J75=""),"M",1)</f>
        <v>M</v>
      </c>
      <c r="BK75" s="217" t="str">
        <f>IF(OR(K75="",L75="",M75=""),"M",1)</f>
        <v>M</v>
      </c>
      <c r="BL75" s="217" t="str">
        <f>IF(OR(N75="",O75="",P75=""),"M",1)</f>
        <v>M</v>
      </c>
      <c r="BM75" s="217" t="str">
        <f>IF(OR(Q75="",R75="",S75=""),"M",1)</f>
        <v>M</v>
      </c>
      <c r="BN75" s="217">
        <f>IF(AND(BI75="M",BJ75="M",BK75="M",BL75="M",BM75="M",D75=""),0,1)</f>
        <v>0</v>
      </c>
      <c r="BO75" s="216"/>
      <c r="BP75" s="216"/>
      <c r="BQ75" s="218"/>
    </row>
    <row r="76" spans="1:69" ht="17.25" customHeight="1">
      <c r="A76" s="296">
        <v>-23</v>
      </c>
      <c r="B76" s="297">
        <f t="shared" si="28"/>
        <v>45902</v>
      </c>
      <c r="C76" s="298">
        <f t="shared" si="29"/>
        <v>45902</v>
      </c>
      <c r="D76" s="242"/>
      <c r="E76" s="46"/>
      <c r="F76" s="47"/>
      <c r="G76" s="48"/>
      <c r="H76" s="46"/>
      <c r="I76" s="47"/>
      <c r="J76" s="48"/>
      <c r="K76" s="46"/>
      <c r="L76" s="47"/>
      <c r="M76" s="48"/>
      <c r="N76" s="46"/>
      <c r="O76" s="47"/>
      <c r="P76" s="48"/>
      <c r="Q76" s="46"/>
      <c r="R76" s="47"/>
      <c r="S76" s="94"/>
      <c r="T76" s="92" t="str">
        <f>IF(BN76=0,"M",IF(D76="p1",AL76,IF(D76="p2",AM76,IF(D76="A",0,((E76*F76)*G76/0.6)+((H76*I76)*J76/0.6)+((K76*L76)*M76/0.6)+((N76*O76)*P76/0.6)+((Q76*R76)*S76/0.6)))))</f>
        <v>M</v>
      </c>
      <c r="U76" s="264" t="str">
        <f t="shared" si="23"/>
        <v>M</v>
      </c>
      <c r="V76" s="91"/>
      <c r="W76" s="127"/>
      <c r="X76" s="208">
        <f t="shared" si="2"/>
        <v>0</v>
      </c>
      <c r="Y76" s="209"/>
      <c r="Z76" s="209">
        <f t="shared" si="26"/>
        <v>0</v>
      </c>
      <c r="AA76" s="209">
        <f t="shared" si="27"/>
        <v>1</v>
      </c>
      <c r="AB76" s="209"/>
      <c r="AC76" s="257"/>
      <c r="AD76" s="261"/>
      <c r="AE76" s="234"/>
      <c r="AF76" s="234"/>
      <c r="AG76" s="234"/>
      <c r="AH76" s="234"/>
      <c r="AI76" s="234"/>
      <c r="AL76" s="212" t="b">
        <f t="shared" si="24"/>
        <v>0</v>
      </c>
      <c r="AM76" s="212" t="b">
        <f t="shared" si="25"/>
        <v>0</v>
      </c>
      <c r="AN76" s="212" t="str">
        <f>IF(D76="p1",AQ76,"no")</f>
        <v>no</v>
      </c>
      <c r="AO76" s="212" t="str">
        <f>IF(D76="p2",AQ76,"no")</f>
        <v>no</v>
      </c>
      <c r="AP76" s="213"/>
      <c r="AQ76" s="212">
        <f>WEEKDAY(C76)</f>
        <v>3</v>
      </c>
      <c r="AR76" s="214" t="str">
        <f t="shared" si="6"/>
        <v>M</v>
      </c>
      <c r="AS76" s="214" t="str">
        <f t="shared" si="10"/>
        <v>M</v>
      </c>
      <c r="AT76" s="214">
        <f t="shared" si="11"/>
        <v>0.70833333333333348</v>
      </c>
      <c r="AU76" s="214" t="str">
        <f t="shared" si="12"/>
        <v>M</v>
      </c>
      <c r="AV76" s="214" t="str">
        <f t="shared" si="13"/>
        <v>M</v>
      </c>
      <c r="AW76" s="214">
        <f t="shared" si="14"/>
        <v>0.70833333333333348</v>
      </c>
      <c r="AX76" s="214" t="str">
        <f t="shared" si="15"/>
        <v>M</v>
      </c>
      <c r="AY76" s="215"/>
      <c r="AZ76" s="214">
        <f t="shared" si="8"/>
        <v>0</v>
      </c>
      <c r="BA76" s="214">
        <f t="shared" si="16"/>
        <v>0</v>
      </c>
      <c r="BB76" s="214">
        <f t="shared" si="17"/>
        <v>0</v>
      </c>
      <c r="BC76" s="214">
        <f t="shared" si="18"/>
        <v>0</v>
      </c>
      <c r="BD76" s="214">
        <f t="shared" si="19"/>
        <v>0</v>
      </c>
      <c r="BE76" s="214">
        <f t="shared" si="20"/>
        <v>0</v>
      </c>
      <c r="BF76" s="214">
        <f t="shared" si="21"/>
        <v>0</v>
      </c>
      <c r="BI76" s="217" t="str">
        <f>IF(OR(E76="",F76="",G76=""),"M",1)</f>
        <v>M</v>
      </c>
      <c r="BJ76" s="217" t="str">
        <f>IF(OR(H76="",I76="",J76=""),"M",1)</f>
        <v>M</v>
      </c>
      <c r="BK76" s="217" t="str">
        <f>IF(OR(K76="",L76="",M76=""),"M",1)</f>
        <v>M</v>
      </c>
      <c r="BL76" s="217" t="str">
        <f>IF(OR(N76="",O76="",P76=""),"M",1)</f>
        <v>M</v>
      </c>
      <c r="BM76" s="217" t="str">
        <f>IF(OR(Q76="",R76="",S76=""),"M",1)</f>
        <v>M</v>
      </c>
      <c r="BN76" s="217">
        <f>IF(AND(BI76="M",BJ76="M",BK76="M",BL76="M",BM76="M",D76=""),0,1)</f>
        <v>0</v>
      </c>
      <c r="BO76" s="216"/>
      <c r="BP76" s="216"/>
      <c r="BQ76" s="218"/>
    </row>
    <row r="77" spans="1:69" ht="17.25" customHeight="1">
      <c r="A77" s="296">
        <v>-22</v>
      </c>
      <c r="B77" s="297">
        <f t="shared" si="28"/>
        <v>45903</v>
      </c>
      <c r="C77" s="298">
        <f t="shared" si="29"/>
        <v>45903</v>
      </c>
      <c r="D77" s="241"/>
      <c r="E77" s="46"/>
      <c r="F77" s="47"/>
      <c r="G77" s="48"/>
      <c r="H77" s="46"/>
      <c r="I77" s="47"/>
      <c r="J77" s="48"/>
      <c r="K77" s="46"/>
      <c r="L77" s="47"/>
      <c r="M77" s="48"/>
      <c r="N77" s="46"/>
      <c r="O77" s="47"/>
      <c r="P77" s="48"/>
      <c r="Q77" s="46"/>
      <c r="R77" s="47"/>
      <c r="S77" s="94"/>
      <c r="T77" s="92" t="str">
        <f>IF(BN77=0,"M",IF(D77="p1",AL77,IF(D77="p2",AM77,IF(D77="A",0,((E77*F77)*G77/0.6)+((H77*I77)*J77/0.6)+((K77*L77)*M77/0.6)+((N77*O77)*P77/0.6)+((Q77*R77)*S77/0.6)))))</f>
        <v>M</v>
      </c>
      <c r="U77" s="264" t="str">
        <f t="shared" si="23"/>
        <v>M</v>
      </c>
      <c r="V77" s="91"/>
      <c r="W77" s="127"/>
      <c r="X77" s="208">
        <f t="shared" si="2"/>
        <v>0</v>
      </c>
      <c r="Y77" s="209"/>
      <c r="Z77" s="209">
        <f t="shared" si="26"/>
        <v>0</v>
      </c>
      <c r="AA77" s="209">
        <f t="shared" si="27"/>
        <v>1</v>
      </c>
      <c r="AB77" s="209"/>
      <c r="AC77" s="257"/>
      <c r="AD77" s="261"/>
      <c r="AE77" s="234"/>
      <c r="AF77" s="234"/>
      <c r="AG77" s="234"/>
      <c r="AH77" s="234"/>
      <c r="AI77" s="234"/>
      <c r="AL77" s="212" t="b">
        <f t="shared" si="24"/>
        <v>0</v>
      </c>
      <c r="AM77" s="212" t="b">
        <f t="shared" si="25"/>
        <v>0</v>
      </c>
      <c r="AN77" s="212" t="str">
        <f>IF(D77="p1",AQ77,"no")</f>
        <v>no</v>
      </c>
      <c r="AO77" s="212" t="str">
        <f>IF(D77="p2",AQ77,"no")</f>
        <v>no</v>
      </c>
      <c r="AP77" s="213"/>
      <c r="AQ77" s="212">
        <f>WEEKDAY(C77)</f>
        <v>4</v>
      </c>
      <c r="AR77" s="214" t="str">
        <f t="shared" si="6"/>
        <v>M</v>
      </c>
      <c r="AS77" s="214" t="str">
        <f t="shared" si="10"/>
        <v>M</v>
      </c>
      <c r="AT77" s="214">
        <f t="shared" si="11"/>
        <v>0.70833333333333348</v>
      </c>
      <c r="AU77" s="214" t="str">
        <f t="shared" si="12"/>
        <v>M</v>
      </c>
      <c r="AV77" s="214" t="str">
        <f t="shared" si="13"/>
        <v>M</v>
      </c>
      <c r="AW77" s="214">
        <f t="shared" si="14"/>
        <v>0.70833333333333348</v>
      </c>
      <c r="AX77" s="214" t="str">
        <f t="shared" si="15"/>
        <v>M</v>
      </c>
      <c r="AY77" s="215"/>
      <c r="AZ77" s="214">
        <f t="shared" si="8"/>
        <v>0</v>
      </c>
      <c r="BA77" s="214">
        <f t="shared" si="16"/>
        <v>0</v>
      </c>
      <c r="BB77" s="214">
        <f t="shared" si="17"/>
        <v>0</v>
      </c>
      <c r="BC77" s="214">
        <f t="shared" si="18"/>
        <v>0</v>
      </c>
      <c r="BD77" s="214">
        <f t="shared" si="19"/>
        <v>0</v>
      </c>
      <c r="BE77" s="214">
        <f t="shared" si="20"/>
        <v>0</v>
      </c>
      <c r="BF77" s="214">
        <f t="shared" si="21"/>
        <v>0</v>
      </c>
      <c r="BI77" s="217" t="str">
        <f>IF(OR(E77="",F77="",G77=""),"M",1)</f>
        <v>M</v>
      </c>
      <c r="BJ77" s="217" t="str">
        <f>IF(OR(H77="",I77="",J77=""),"M",1)</f>
        <v>M</v>
      </c>
      <c r="BK77" s="217" t="str">
        <f>IF(OR(K77="",L77="",M77=""),"M",1)</f>
        <v>M</v>
      </c>
      <c r="BL77" s="217" t="str">
        <f>IF(OR(N77="",O77="",P77=""),"M",1)</f>
        <v>M</v>
      </c>
      <c r="BM77" s="217" t="str">
        <f>IF(OR(Q77="",R77="",S77=""),"M",1)</f>
        <v>M</v>
      </c>
      <c r="BN77" s="217">
        <f>IF(AND(BI77="M",BJ77="M",BK77="M",BL77="M",BM77="M",D77=""),0,1)</f>
        <v>0</v>
      </c>
      <c r="BO77" s="216"/>
      <c r="BP77" s="216"/>
      <c r="BQ77" s="218"/>
    </row>
    <row r="78" spans="1:69" ht="17.25" customHeight="1">
      <c r="A78" s="296">
        <v>-21</v>
      </c>
      <c r="B78" s="297">
        <f t="shared" si="28"/>
        <v>45904</v>
      </c>
      <c r="C78" s="298">
        <f t="shared" si="29"/>
        <v>45904</v>
      </c>
      <c r="D78" s="242"/>
      <c r="E78" s="46"/>
      <c r="F78" s="47"/>
      <c r="G78" s="48"/>
      <c r="H78" s="46"/>
      <c r="I78" s="47"/>
      <c r="J78" s="48"/>
      <c r="K78" s="46"/>
      <c r="L78" s="47"/>
      <c r="M78" s="48"/>
      <c r="N78" s="46"/>
      <c r="O78" s="47"/>
      <c r="P78" s="48"/>
      <c r="Q78" s="46"/>
      <c r="R78" s="47"/>
      <c r="S78" s="94"/>
      <c r="T78" s="92" t="str">
        <f>IF(BN78=0,"M",IF(D78="p1",AL78,IF(D78="p2",AM78,IF(D78="A",0,((E78*F78)*G78/0.6)+((H78*I78)*J78/0.6)+((K78*L78)*M78/0.6)+((N78*O78)*P78/0.6)+((Q78*R78)*S78/0.6)))))</f>
        <v>M</v>
      </c>
      <c r="U78" s="264" t="str">
        <f t="shared" si="23"/>
        <v>M</v>
      </c>
      <c r="V78" s="91"/>
      <c r="W78" s="127"/>
      <c r="X78" s="208">
        <f t="shared" si="2"/>
        <v>0</v>
      </c>
      <c r="Y78" s="209"/>
      <c r="Z78" s="209">
        <f t="shared" si="26"/>
        <v>0</v>
      </c>
      <c r="AA78" s="209">
        <f t="shared" si="27"/>
        <v>1</v>
      </c>
      <c r="AB78" s="209"/>
      <c r="AC78" s="257"/>
      <c r="AD78" s="261"/>
      <c r="AE78" s="234"/>
      <c r="AF78" s="234"/>
      <c r="AG78" s="234"/>
      <c r="AH78" s="234"/>
      <c r="AI78" s="234"/>
      <c r="AL78" s="212" t="b">
        <f t="shared" si="24"/>
        <v>0</v>
      </c>
      <c r="AM78" s="212" t="b">
        <f t="shared" si="25"/>
        <v>0</v>
      </c>
      <c r="AN78" s="212" t="str">
        <f>IF(D78="p1",AQ78,"no")</f>
        <v>no</v>
      </c>
      <c r="AO78" s="212" t="str">
        <f>IF(D78="p2",AQ78,"no")</f>
        <v>no</v>
      </c>
      <c r="AP78" s="213"/>
      <c r="AQ78" s="212">
        <f>WEEKDAY(C78)</f>
        <v>5</v>
      </c>
      <c r="AR78" s="214" t="str">
        <f t="shared" si="6"/>
        <v>M</v>
      </c>
      <c r="AS78" s="214" t="str">
        <f t="shared" si="10"/>
        <v>M</v>
      </c>
      <c r="AT78" s="214">
        <f t="shared" si="11"/>
        <v>0.70833333333333348</v>
      </c>
      <c r="AU78" s="214" t="str">
        <f t="shared" si="12"/>
        <v>M</v>
      </c>
      <c r="AV78" s="214" t="str">
        <f t="shared" si="13"/>
        <v>M</v>
      </c>
      <c r="AW78" s="214">
        <f t="shared" si="14"/>
        <v>0.70833333333333348</v>
      </c>
      <c r="AX78" s="214" t="str">
        <f t="shared" si="15"/>
        <v>M</v>
      </c>
      <c r="AY78" s="215"/>
      <c r="AZ78" s="214">
        <f t="shared" si="8"/>
        <v>0</v>
      </c>
      <c r="BA78" s="214">
        <f t="shared" si="16"/>
        <v>0</v>
      </c>
      <c r="BB78" s="214">
        <f t="shared" si="17"/>
        <v>0</v>
      </c>
      <c r="BC78" s="214">
        <f t="shared" si="18"/>
        <v>0</v>
      </c>
      <c r="BD78" s="214">
        <f t="shared" si="19"/>
        <v>0</v>
      </c>
      <c r="BE78" s="214">
        <f t="shared" si="20"/>
        <v>0</v>
      </c>
      <c r="BF78" s="214">
        <f t="shared" si="21"/>
        <v>0</v>
      </c>
      <c r="BI78" s="217" t="str">
        <f>IF(OR(E78="",F78="",G78=""),"M",1)</f>
        <v>M</v>
      </c>
      <c r="BJ78" s="217" t="str">
        <f>IF(OR(H78="",I78="",J78=""),"M",1)</f>
        <v>M</v>
      </c>
      <c r="BK78" s="217" t="str">
        <f>IF(OR(K78="",L78="",M78=""),"M",1)</f>
        <v>M</v>
      </c>
      <c r="BL78" s="217" t="str">
        <f>IF(OR(N78="",O78="",P78=""),"M",1)</f>
        <v>M</v>
      </c>
      <c r="BM78" s="217" t="str">
        <f>IF(OR(Q78="",R78="",S78=""),"M",1)</f>
        <v>M</v>
      </c>
      <c r="BN78" s="217">
        <f>IF(AND(BI78="M",BJ78="M",BK78="M",BL78="M",BM78="M",D78=""),0,1)</f>
        <v>0</v>
      </c>
      <c r="BO78" s="216"/>
      <c r="BP78" s="216"/>
      <c r="BQ78" s="218"/>
    </row>
    <row r="79" spans="1:69" ht="17.25" customHeight="1">
      <c r="A79" s="296">
        <v>-20</v>
      </c>
      <c r="B79" s="297">
        <f t="shared" si="28"/>
        <v>45905</v>
      </c>
      <c r="C79" s="298">
        <f t="shared" si="29"/>
        <v>45905</v>
      </c>
      <c r="D79" s="241"/>
      <c r="E79" s="46"/>
      <c r="F79" s="47"/>
      <c r="G79" s="48"/>
      <c r="H79" s="46"/>
      <c r="I79" s="47"/>
      <c r="J79" s="48"/>
      <c r="K79" s="46"/>
      <c r="L79" s="47"/>
      <c r="M79" s="48"/>
      <c r="N79" s="46"/>
      <c r="O79" s="47"/>
      <c r="P79" s="48"/>
      <c r="Q79" s="46"/>
      <c r="R79" s="47"/>
      <c r="S79" s="94"/>
      <c r="T79" s="92" t="str">
        <f>IF(BN79=0,"M",IF(D79="p1",AL79,IF(D79="p2",AM79,IF(D79="A",0,((E79*F79)*G79/0.6)+((H79*I79)*J79/0.6)+((K79*L79)*M79/0.6)+((N79*O79)*P79/0.6)+((Q79*R79)*S79/0.6)))))</f>
        <v>M</v>
      </c>
      <c r="U79" s="264" t="str">
        <f t="shared" si="23"/>
        <v>M</v>
      </c>
      <c r="V79" s="91"/>
      <c r="W79" s="127"/>
      <c r="X79" s="208">
        <f t="shared" si="2"/>
        <v>0</v>
      </c>
      <c r="Y79" s="209"/>
      <c r="Z79" s="209">
        <f t="shared" si="26"/>
        <v>0</v>
      </c>
      <c r="AA79" s="209">
        <f t="shared" si="27"/>
        <v>1</v>
      </c>
      <c r="AB79" s="209"/>
      <c r="AC79" s="257"/>
      <c r="AD79" s="261"/>
      <c r="AE79" s="234"/>
      <c r="AF79" s="234"/>
      <c r="AG79" s="234"/>
      <c r="AH79" s="234"/>
      <c r="AI79" s="234"/>
      <c r="AL79" s="212" t="b">
        <f t="shared" si="24"/>
        <v>0</v>
      </c>
      <c r="AM79" s="212" t="b">
        <f t="shared" si="25"/>
        <v>0</v>
      </c>
      <c r="AN79" s="212" t="str">
        <f>IF(D79="p1",AQ79,"no")</f>
        <v>no</v>
      </c>
      <c r="AO79" s="212" t="str">
        <f>IF(D79="p2",AQ79,"no")</f>
        <v>no</v>
      </c>
      <c r="AP79" s="213"/>
      <c r="AQ79" s="212">
        <f>WEEKDAY(C79)</f>
        <v>6</v>
      </c>
      <c r="AR79" s="214" t="str">
        <f t="shared" si="6"/>
        <v>M</v>
      </c>
      <c r="AS79" s="214" t="str">
        <f t="shared" si="10"/>
        <v>M</v>
      </c>
      <c r="AT79" s="214">
        <f t="shared" si="11"/>
        <v>0.70833333333333348</v>
      </c>
      <c r="AU79" s="214" t="str">
        <f t="shared" si="12"/>
        <v>M</v>
      </c>
      <c r="AV79" s="214" t="str">
        <f t="shared" si="13"/>
        <v>M</v>
      </c>
      <c r="AW79" s="214">
        <f t="shared" si="14"/>
        <v>0.70833333333333348</v>
      </c>
      <c r="AX79" s="214" t="str">
        <f t="shared" si="15"/>
        <v>M</v>
      </c>
      <c r="AY79" s="215"/>
      <c r="AZ79" s="214">
        <f t="shared" si="8"/>
        <v>0</v>
      </c>
      <c r="BA79" s="214">
        <f t="shared" si="16"/>
        <v>0</v>
      </c>
      <c r="BB79" s="214">
        <f t="shared" si="17"/>
        <v>0</v>
      </c>
      <c r="BC79" s="214">
        <f t="shared" si="18"/>
        <v>0</v>
      </c>
      <c r="BD79" s="214">
        <f t="shared" si="19"/>
        <v>0</v>
      </c>
      <c r="BE79" s="214">
        <f t="shared" si="20"/>
        <v>0</v>
      </c>
      <c r="BF79" s="214">
        <f t="shared" si="21"/>
        <v>0</v>
      </c>
      <c r="BI79" s="217" t="str">
        <f>IF(OR(E79="",F79="",G79=""),"M",1)</f>
        <v>M</v>
      </c>
      <c r="BJ79" s="217" t="str">
        <f>IF(OR(H79="",I79="",J79=""),"M",1)</f>
        <v>M</v>
      </c>
      <c r="BK79" s="217" t="str">
        <f>IF(OR(K79="",L79="",M79=""),"M",1)</f>
        <v>M</v>
      </c>
      <c r="BL79" s="217" t="str">
        <f>IF(OR(N79="",O79="",P79=""),"M",1)</f>
        <v>M</v>
      </c>
      <c r="BM79" s="217" t="str">
        <f>IF(OR(Q79="",R79="",S79=""),"M",1)</f>
        <v>M</v>
      </c>
      <c r="BN79" s="217">
        <f>IF(AND(BI79="M",BJ79="M",BK79="M",BL79="M",BM79="M",D79=""),0,1)</f>
        <v>0</v>
      </c>
      <c r="BO79" s="216"/>
      <c r="BP79" s="216"/>
      <c r="BQ79" s="218"/>
    </row>
    <row r="80" spans="1:69" ht="17.25" customHeight="1">
      <c r="A80" s="296">
        <v>-19</v>
      </c>
      <c r="B80" s="297">
        <f t="shared" si="28"/>
        <v>45906</v>
      </c>
      <c r="C80" s="298">
        <f t="shared" si="29"/>
        <v>45906</v>
      </c>
      <c r="D80" s="242"/>
      <c r="E80" s="46"/>
      <c r="F80" s="47"/>
      <c r="G80" s="48"/>
      <c r="H80" s="46"/>
      <c r="I80" s="47"/>
      <c r="J80" s="48"/>
      <c r="K80" s="46"/>
      <c r="L80" s="47"/>
      <c r="M80" s="48"/>
      <c r="N80" s="46"/>
      <c r="O80" s="47"/>
      <c r="P80" s="48"/>
      <c r="Q80" s="46"/>
      <c r="R80" s="47"/>
      <c r="S80" s="94"/>
      <c r="T80" s="92" t="str">
        <f>IF(BN80=0,"M",IF(D80="p1",AL80,IF(D80="p2",AM80,IF(D80="A",0,((E80*F80)*G80/0.6)+((H80*I80)*J80/0.6)+((K80*L80)*M80/0.6)+((N80*O80)*P80/0.6)+((Q80*R80)*S80/0.6)))))</f>
        <v>M</v>
      </c>
      <c r="U80" s="264" t="str">
        <f t="shared" si="23"/>
        <v>M</v>
      </c>
      <c r="V80" s="91"/>
      <c r="W80" s="127"/>
      <c r="X80" s="208">
        <f t="shared" si="2"/>
        <v>0</v>
      </c>
      <c r="Y80" s="209"/>
      <c r="Z80" s="209">
        <f t="shared" si="26"/>
        <v>0</v>
      </c>
      <c r="AA80" s="209">
        <f t="shared" si="27"/>
        <v>1</v>
      </c>
      <c r="AB80" s="209"/>
      <c r="AC80" s="257"/>
      <c r="AD80" s="261"/>
      <c r="AE80" s="234"/>
      <c r="AF80" s="234"/>
      <c r="AG80" s="234"/>
      <c r="AH80" s="234"/>
      <c r="AI80" s="234"/>
      <c r="AL80" s="212" t="b">
        <f t="shared" si="24"/>
        <v>0</v>
      </c>
      <c r="AM80" s="212" t="b">
        <f t="shared" si="25"/>
        <v>0</v>
      </c>
      <c r="AN80" s="212" t="str">
        <f>IF(D80="p1",AQ80,"no")</f>
        <v>no</v>
      </c>
      <c r="AO80" s="212" t="str">
        <f>IF(D80="p2",AQ80,"no")</f>
        <v>no</v>
      </c>
      <c r="AP80" s="213"/>
      <c r="AQ80" s="212">
        <f>WEEKDAY(C80)</f>
        <v>7</v>
      </c>
      <c r="AR80" s="214" t="str">
        <f t="shared" si="6"/>
        <v>M</v>
      </c>
      <c r="AS80" s="214" t="str">
        <f t="shared" si="10"/>
        <v>M</v>
      </c>
      <c r="AT80" s="214">
        <f t="shared" si="11"/>
        <v>0.70833333333333348</v>
      </c>
      <c r="AU80" s="214" t="str">
        <f t="shared" si="12"/>
        <v>M</v>
      </c>
      <c r="AV80" s="214" t="str">
        <f t="shared" si="13"/>
        <v>M</v>
      </c>
      <c r="AW80" s="214">
        <f t="shared" si="14"/>
        <v>0.70833333333333348</v>
      </c>
      <c r="AX80" s="214" t="str">
        <f t="shared" si="15"/>
        <v>M</v>
      </c>
      <c r="AY80" s="215"/>
      <c r="AZ80" s="214">
        <f t="shared" si="8"/>
        <v>0</v>
      </c>
      <c r="BA80" s="214">
        <f t="shared" si="16"/>
        <v>0</v>
      </c>
      <c r="BB80" s="214">
        <f t="shared" si="17"/>
        <v>0</v>
      </c>
      <c r="BC80" s="214">
        <f t="shared" si="18"/>
        <v>0</v>
      </c>
      <c r="BD80" s="214">
        <f t="shared" si="19"/>
        <v>0</v>
      </c>
      <c r="BE80" s="214">
        <f t="shared" si="20"/>
        <v>0</v>
      </c>
      <c r="BF80" s="214">
        <f t="shared" si="21"/>
        <v>0</v>
      </c>
      <c r="BI80" s="217" t="str">
        <f>IF(OR(E80="",F80="",G80=""),"M",1)</f>
        <v>M</v>
      </c>
      <c r="BJ80" s="217" t="str">
        <f>IF(OR(H80="",I80="",J80=""),"M",1)</f>
        <v>M</v>
      </c>
      <c r="BK80" s="217" t="str">
        <f>IF(OR(K80="",L80="",M80=""),"M",1)</f>
        <v>M</v>
      </c>
      <c r="BL80" s="217" t="str">
        <f>IF(OR(N80="",O80="",P80=""),"M",1)</f>
        <v>M</v>
      </c>
      <c r="BM80" s="217" t="str">
        <f>IF(OR(Q80="",R80="",S80=""),"M",1)</f>
        <v>M</v>
      </c>
      <c r="BN80" s="217">
        <f>IF(AND(BI80="M",BJ80="M",BK80="M",BL80="M",BM80="M",D80=""),0,1)</f>
        <v>0</v>
      </c>
      <c r="BO80" s="216"/>
      <c r="BP80" s="216"/>
      <c r="BQ80" s="218"/>
    </row>
    <row r="81" spans="1:69" ht="17.25" customHeight="1">
      <c r="A81" s="296">
        <v>-18</v>
      </c>
      <c r="B81" s="297">
        <f t="shared" si="28"/>
        <v>45907</v>
      </c>
      <c r="C81" s="298">
        <f t="shared" si="29"/>
        <v>45907</v>
      </c>
      <c r="D81" s="241"/>
      <c r="E81" s="46"/>
      <c r="F81" s="47"/>
      <c r="G81" s="48"/>
      <c r="H81" s="46"/>
      <c r="I81" s="47"/>
      <c r="J81" s="48"/>
      <c r="K81" s="46"/>
      <c r="L81" s="47"/>
      <c r="M81" s="48"/>
      <c r="N81" s="46"/>
      <c r="O81" s="47"/>
      <c r="P81" s="48"/>
      <c r="Q81" s="46"/>
      <c r="R81" s="47"/>
      <c r="S81" s="94"/>
      <c r="T81" s="92" t="str">
        <f>IF(BN81=0,"M",IF(D81="p1",AL81,IF(D81="p2",AM81,IF(D81="A",0,((E81*F81)*G81/0.6)+((H81*I81)*J81/0.6)+((K81*L81)*M81/0.6)+((N81*O81)*P81/0.6)+((Q81*R81)*S81/0.6)))))</f>
        <v>M</v>
      </c>
      <c r="U81" s="264" t="str">
        <f t="shared" si="23"/>
        <v>M</v>
      </c>
      <c r="V81" s="91"/>
      <c r="W81" s="127"/>
      <c r="X81" s="208">
        <f t="shared" si="2"/>
        <v>0</v>
      </c>
      <c r="Y81" s="209"/>
      <c r="Z81" s="209">
        <f t="shared" si="26"/>
        <v>0</v>
      </c>
      <c r="AA81" s="209">
        <f t="shared" si="27"/>
        <v>1</v>
      </c>
      <c r="AB81" s="209"/>
      <c r="AC81" s="257"/>
      <c r="AD81" s="261"/>
      <c r="AE81" s="234"/>
      <c r="AF81" s="234"/>
      <c r="AG81" s="234"/>
      <c r="AH81" s="234"/>
      <c r="AI81" s="234"/>
      <c r="AL81" s="212" t="b">
        <f t="shared" si="24"/>
        <v>0</v>
      </c>
      <c r="AM81" s="212" t="b">
        <f t="shared" si="25"/>
        <v>0</v>
      </c>
      <c r="AN81" s="212" t="str">
        <f>IF(D81="p1",AQ81,"no")</f>
        <v>no</v>
      </c>
      <c r="AO81" s="212" t="str">
        <f>IF(D81="p2",AQ81,"no")</f>
        <v>no</v>
      </c>
      <c r="AP81" s="213"/>
      <c r="AQ81" s="212">
        <f>WEEKDAY(C81)</f>
        <v>1</v>
      </c>
      <c r="AR81" s="214" t="str">
        <f t="shared" si="6"/>
        <v>M</v>
      </c>
      <c r="AS81" s="214" t="str">
        <f t="shared" si="10"/>
        <v>M</v>
      </c>
      <c r="AT81" s="214">
        <f t="shared" si="11"/>
        <v>0.70833333333333348</v>
      </c>
      <c r="AU81" s="214" t="str">
        <f t="shared" si="12"/>
        <v>M</v>
      </c>
      <c r="AV81" s="214" t="str">
        <f t="shared" si="13"/>
        <v>M</v>
      </c>
      <c r="AW81" s="214">
        <f t="shared" si="14"/>
        <v>0.70833333333333348</v>
      </c>
      <c r="AX81" s="214" t="str">
        <f t="shared" si="15"/>
        <v>M</v>
      </c>
      <c r="AY81" s="215"/>
      <c r="AZ81" s="214">
        <f t="shared" si="8"/>
        <v>0</v>
      </c>
      <c r="BA81" s="214">
        <f t="shared" si="16"/>
        <v>0</v>
      </c>
      <c r="BB81" s="214">
        <f t="shared" si="17"/>
        <v>0</v>
      </c>
      <c r="BC81" s="214">
        <f t="shared" si="18"/>
        <v>0</v>
      </c>
      <c r="BD81" s="214">
        <f t="shared" si="19"/>
        <v>0</v>
      </c>
      <c r="BE81" s="214">
        <f t="shared" si="20"/>
        <v>0</v>
      </c>
      <c r="BF81" s="214">
        <f t="shared" si="21"/>
        <v>0</v>
      </c>
      <c r="BI81" s="217" t="str">
        <f>IF(OR(E81="",F81="",G81=""),"M",1)</f>
        <v>M</v>
      </c>
      <c r="BJ81" s="217" t="str">
        <f>IF(OR(H81="",I81="",J81=""),"M",1)</f>
        <v>M</v>
      </c>
      <c r="BK81" s="217" t="str">
        <f>IF(OR(K81="",L81="",M81=""),"M",1)</f>
        <v>M</v>
      </c>
      <c r="BL81" s="217" t="str">
        <f>IF(OR(N81="",O81="",P81=""),"M",1)</f>
        <v>M</v>
      </c>
      <c r="BM81" s="217" t="str">
        <f>IF(OR(Q81="",R81="",S81=""),"M",1)</f>
        <v>M</v>
      </c>
      <c r="BN81" s="217">
        <f>IF(AND(BI81="M",BJ81="M",BK81="M",BL81="M",BM81="M",D81=""),0,1)</f>
        <v>0</v>
      </c>
      <c r="BO81" s="216"/>
      <c r="BP81" s="216"/>
      <c r="BQ81" s="218"/>
    </row>
    <row r="82" spans="1:69" ht="17.25" customHeight="1">
      <c r="A82" s="296">
        <v>-17</v>
      </c>
      <c r="B82" s="297">
        <f t="shared" si="28"/>
        <v>45908</v>
      </c>
      <c r="C82" s="298">
        <f t="shared" si="29"/>
        <v>45908</v>
      </c>
      <c r="D82" s="242"/>
      <c r="E82" s="46"/>
      <c r="F82" s="47"/>
      <c r="G82" s="48"/>
      <c r="H82" s="46"/>
      <c r="I82" s="47"/>
      <c r="J82" s="48"/>
      <c r="K82" s="46"/>
      <c r="L82" s="47"/>
      <c r="M82" s="48"/>
      <c r="N82" s="46"/>
      <c r="O82" s="47"/>
      <c r="P82" s="48"/>
      <c r="Q82" s="46"/>
      <c r="R82" s="47"/>
      <c r="S82" s="94"/>
      <c r="T82" s="92" t="str">
        <f>IF(BN82=0,"M",IF(D82="p1",AL82,IF(D82="p2",AM82,IF(D82="A",0,((E82*F82)*G82/0.6)+((H82*I82)*J82/0.6)+((K82*L82)*M82/0.6)+((N82*O82)*P82/0.6)+((Q82*R82)*S82/0.6)))))</f>
        <v>M</v>
      </c>
      <c r="U82" s="264" t="str">
        <f t="shared" si="23"/>
        <v>M</v>
      </c>
      <c r="V82" s="91"/>
      <c r="W82" s="127"/>
      <c r="X82" s="208">
        <f t="shared" si="2"/>
        <v>0</v>
      </c>
      <c r="Y82" s="209"/>
      <c r="Z82" s="209">
        <f t="shared" si="26"/>
        <v>0</v>
      </c>
      <c r="AA82" s="209">
        <f t="shared" si="27"/>
        <v>1</v>
      </c>
      <c r="AB82" s="209"/>
      <c r="AC82" s="257"/>
      <c r="AD82" s="261"/>
      <c r="AE82" s="234"/>
      <c r="AF82" s="234"/>
      <c r="AG82" s="234"/>
      <c r="AH82" s="234"/>
      <c r="AI82" s="234"/>
      <c r="AL82" s="212" t="b">
        <f t="shared" si="24"/>
        <v>0</v>
      </c>
      <c r="AM82" s="212" t="b">
        <f t="shared" si="25"/>
        <v>0</v>
      </c>
      <c r="AN82" s="212" t="str">
        <f>IF(D82="p1",AQ82,"no")</f>
        <v>no</v>
      </c>
      <c r="AO82" s="212" t="str">
        <f>IF(D82="p2",AQ82,"no")</f>
        <v>no</v>
      </c>
      <c r="AP82" s="213"/>
      <c r="AQ82" s="212">
        <f>WEEKDAY(C82)</f>
        <v>2</v>
      </c>
      <c r="AR82" s="214" t="str">
        <f t="shared" si="6"/>
        <v>M</v>
      </c>
      <c r="AS82" s="214" t="str">
        <f t="shared" si="10"/>
        <v>M</v>
      </c>
      <c r="AT82" s="214">
        <f t="shared" si="11"/>
        <v>0.70833333333333348</v>
      </c>
      <c r="AU82" s="214" t="str">
        <f t="shared" si="12"/>
        <v>M</v>
      </c>
      <c r="AV82" s="214" t="str">
        <f t="shared" si="13"/>
        <v>M</v>
      </c>
      <c r="AW82" s="214">
        <f t="shared" si="14"/>
        <v>0.70833333333333348</v>
      </c>
      <c r="AX82" s="214" t="str">
        <f t="shared" si="15"/>
        <v>M</v>
      </c>
      <c r="AY82" s="215"/>
      <c r="AZ82" s="214">
        <f t="shared" si="8"/>
        <v>0</v>
      </c>
      <c r="BA82" s="214">
        <f t="shared" si="16"/>
        <v>0</v>
      </c>
      <c r="BB82" s="214">
        <f t="shared" si="17"/>
        <v>0</v>
      </c>
      <c r="BC82" s="214">
        <f t="shared" si="18"/>
        <v>0</v>
      </c>
      <c r="BD82" s="214">
        <f t="shared" si="19"/>
        <v>0</v>
      </c>
      <c r="BE82" s="214">
        <f t="shared" si="20"/>
        <v>0</v>
      </c>
      <c r="BF82" s="214">
        <f t="shared" si="21"/>
        <v>0</v>
      </c>
      <c r="BI82" s="217" t="str">
        <f>IF(OR(E82="",F82="",G82=""),"M",1)</f>
        <v>M</v>
      </c>
      <c r="BJ82" s="217" t="str">
        <f>IF(OR(H82="",I82="",J82=""),"M",1)</f>
        <v>M</v>
      </c>
      <c r="BK82" s="217" t="str">
        <f>IF(OR(K82="",L82="",M82=""),"M",1)</f>
        <v>M</v>
      </c>
      <c r="BL82" s="217" t="str">
        <f>IF(OR(N82="",O82="",P82=""),"M",1)</f>
        <v>M</v>
      </c>
      <c r="BM82" s="217" t="str">
        <f>IF(OR(Q82="",R82="",S82=""),"M",1)</f>
        <v>M</v>
      </c>
      <c r="BN82" s="217">
        <f>IF(AND(BI82="M",BJ82="M",BK82="M",BL82="M",BM82="M",D82=""),0,1)</f>
        <v>0</v>
      </c>
      <c r="BO82" s="216"/>
      <c r="BP82" s="216"/>
      <c r="BQ82" s="218"/>
    </row>
    <row r="83" spans="1:69" ht="17.25" customHeight="1">
      <c r="A83" s="296">
        <v>-16</v>
      </c>
      <c r="B83" s="297">
        <f t="shared" si="28"/>
        <v>45909</v>
      </c>
      <c r="C83" s="298">
        <f t="shared" si="29"/>
        <v>45909</v>
      </c>
      <c r="D83" s="241"/>
      <c r="E83" s="46"/>
      <c r="F83" s="47"/>
      <c r="G83" s="48"/>
      <c r="H83" s="46"/>
      <c r="I83" s="47"/>
      <c r="J83" s="48"/>
      <c r="K83" s="46"/>
      <c r="L83" s="47"/>
      <c r="M83" s="48"/>
      <c r="N83" s="46"/>
      <c r="O83" s="47"/>
      <c r="P83" s="48"/>
      <c r="Q83" s="46"/>
      <c r="R83" s="47"/>
      <c r="S83" s="94"/>
      <c r="T83" s="92" t="str">
        <f>IF(BN83=0,"M",IF(D83="p1",AL83,IF(D83="p2",AM83,IF(D83="A",0,((E83*F83)*G83/0.6)+((H83*I83)*J83/0.6)+((K83*L83)*M83/0.6)+((N83*O83)*P83/0.6)+((Q83*R83)*S83/0.6)))))</f>
        <v>M</v>
      </c>
      <c r="U83" s="264" t="str">
        <f t="shared" si="23"/>
        <v>M</v>
      </c>
      <c r="V83" s="91"/>
      <c r="W83" s="127"/>
      <c r="X83" s="208">
        <f t="shared" si="2"/>
        <v>0</v>
      </c>
      <c r="Y83" s="209"/>
      <c r="Z83" s="209">
        <f t="shared" si="26"/>
        <v>0</v>
      </c>
      <c r="AA83" s="209">
        <f t="shared" si="27"/>
        <v>1</v>
      </c>
      <c r="AB83" s="209"/>
      <c r="AC83" s="257"/>
      <c r="AD83" s="261"/>
      <c r="AE83" s="234"/>
      <c r="AF83" s="234"/>
      <c r="AG83" s="234"/>
      <c r="AH83" s="234"/>
      <c r="AI83" s="234"/>
      <c r="AL83" s="212" t="b">
        <f t="shared" si="24"/>
        <v>0</v>
      </c>
      <c r="AM83" s="212" t="b">
        <f t="shared" si="25"/>
        <v>0</v>
      </c>
      <c r="AN83" s="212" t="str">
        <f>IF(D83="p1",AQ83,"no")</f>
        <v>no</v>
      </c>
      <c r="AO83" s="212" t="str">
        <f>IF(D83="p2",AQ83,"no")</f>
        <v>no</v>
      </c>
      <c r="AP83" s="213"/>
      <c r="AQ83" s="212">
        <f>WEEKDAY(C83)</f>
        <v>3</v>
      </c>
      <c r="AR83" s="214" t="str">
        <f t="shared" si="6"/>
        <v>M</v>
      </c>
      <c r="AS83" s="214" t="str">
        <f t="shared" si="10"/>
        <v>M</v>
      </c>
      <c r="AT83" s="214">
        <f t="shared" si="11"/>
        <v>0.70833333333333348</v>
      </c>
      <c r="AU83" s="214" t="str">
        <f t="shared" si="12"/>
        <v>M</v>
      </c>
      <c r="AV83" s="214" t="str">
        <f t="shared" si="13"/>
        <v>M</v>
      </c>
      <c r="AW83" s="214">
        <f t="shared" si="14"/>
        <v>0.70833333333333348</v>
      </c>
      <c r="AX83" s="214" t="str">
        <f t="shared" si="15"/>
        <v>M</v>
      </c>
      <c r="AY83" s="215"/>
      <c r="AZ83" s="214">
        <f t="shared" si="8"/>
        <v>0</v>
      </c>
      <c r="BA83" s="214">
        <f t="shared" si="16"/>
        <v>0</v>
      </c>
      <c r="BB83" s="214">
        <f t="shared" si="17"/>
        <v>0</v>
      </c>
      <c r="BC83" s="214">
        <f t="shared" si="18"/>
        <v>0</v>
      </c>
      <c r="BD83" s="214">
        <f t="shared" si="19"/>
        <v>0</v>
      </c>
      <c r="BE83" s="214">
        <f t="shared" si="20"/>
        <v>0</v>
      </c>
      <c r="BF83" s="214">
        <f t="shared" si="21"/>
        <v>0</v>
      </c>
      <c r="BI83" s="217" t="str">
        <f>IF(OR(E83="",F83="",G83=""),"M",1)</f>
        <v>M</v>
      </c>
      <c r="BJ83" s="217" t="str">
        <f>IF(OR(H83="",I83="",J83=""),"M",1)</f>
        <v>M</v>
      </c>
      <c r="BK83" s="217" t="str">
        <f>IF(OR(K83="",L83="",M83=""),"M",1)</f>
        <v>M</v>
      </c>
      <c r="BL83" s="217" t="str">
        <f>IF(OR(N83="",O83="",P83=""),"M",1)</f>
        <v>M</v>
      </c>
      <c r="BM83" s="217" t="str">
        <f>IF(OR(Q83="",R83="",S83=""),"M",1)</f>
        <v>M</v>
      </c>
      <c r="BN83" s="217">
        <f>IF(AND(BI83="M",BJ83="M",BK83="M",BL83="M",BM83="M",D83=""),0,1)</f>
        <v>0</v>
      </c>
      <c r="BO83" s="216"/>
      <c r="BP83" s="216"/>
      <c r="BQ83" s="218"/>
    </row>
    <row r="84" spans="1:69" ht="17.25" customHeight="1">
      <c r="A84" s="296">
        <v>-15</v>
      </c>
      <c r="B84" s="297">
        <f t="shared" si="28"/>
        <v>45910</v>
      </c>
      <c r="C84" s="298">
        <f t="shared" si="29"/>
        <v>45910</v>
      </c>
      <c r="D84" s="242"/>
      <c r="E84" s="46"/>
      <c r="F84" s="47"/>
      <c r="G84" s="48"/>
      <c r="H84" s="46"/>
      <c r="I84" s="47"/>
      <c r="J84" s="48"/>
      <c r="K84" s="46"/>
      <c r="L84" s="47"/>
      <c r="M84" s="48"/>
      <c r="N84" s="46"/>
      <c r="O84" s="47"/>
      <c r="P84" s="48"/>
      <c r="Q84" s="46"/>
      <c r="R84" s="47"/>
      <c r="S84" s="94"/>
      <c r="T84" s="92" t="str">
        <f>IF(BN84=0,"M",IF(D84="p1",AL84,IF(D84="p2",AM84,IF(D84="A",0,((E84*F84)*G84/0.6)+((H84*I84)*J84/0.6)+((K84*L84)*M84/0.6)+((N84*O84)*P84/0.6)+((Q84*R84)*S84/0.6)))))</f>
        <v>M</v>
      </c>
      <c r="U84" s="264" t="str">
        <f t="shared" si="23"/>
        <v>M</v>
      </c>
      <c r="V84" s="91"/>
      <c r="W84" s="127"/>
      <c r="X84" s="208">
        <f t="shared" si="2"/>
        <v>0</v>
      </c>
      <c r="Y84" s="209"/>
      <c r="Z84" s="209">
        <f t="shared" si="26"/>
        <v>0</v>
      </c>
      <c r="AA84" s="209">
        <f t="shared" si="27"/>
        <v>1</v>
      </c>
      <c r="AB84" s="209"/>
      <c r="AC84" s="257"/>
      <c r="AD84" s="261"/>
      <c r="AE84" s="234"/>
      <c r="AF84" s="234"/>
      <c r="AG84" s="234"/>
      <c r="AH84" s="234"/>
      <c r="AI84" s="234"/>
      <c r="AL84" s="212" t="b">
        <f t="shared" si="24"/>
        <v>0</v>
      </c>
      <c r="AM84" s="212" t="b">
        <f t="shared" si="25"/>
        <v>0</v>
      </c>
      <c r="AN84" s="212" t="str">
        <f>IF(D84="p1",AQ84,"no")</f>
        <v>no</v>
      </c>
      <c r="AO84" s="212" t="str">
        <f>IF(D84="p2",AQ84,"no")</f>
        <v>no</v>
      </c>
      <c r="AP84" s="213"/>
      <c r="AQ84" s="212">
        <f>WEEKDAY(C84)</f>
        <v>4</v>
      </c>
      <c r="AR84" s="214" t="str">
        <f t="shared" si="6"/>
        <v>M</v>
      </c>
      <c r="AS84" s="214" t="str">
        <f t="shared" si="10"/>
        <v>M</v>
      </c>
      <c r="AT84" s="214">
        <f t="shared" si="11"/>
        <v>0.70833333333333348</v>
      </c>
      <c r="AU84" s="214" t="str">
        <f t="shared" si="12"/>
        <v>M</v>
      </c>
      <c r="AV84" s="214" t="str">
        <f t="shared" si="13"/>
        <v>M</v>
      </c>
      <c r="AW84" s="214">
        <f t="shared" si="14"/>
        <v>0.70833333333333348</v>
      </c>
      <c r="AX84" s="214" t="str">
        <f t="shared" si="15"/>
        <v>M</v>
      </c>
      <c r="AY84" s="215"/>
      <c r="AZ84" s="214">
        <f t="shared" si="8"/>
        <v>0</v>
      </c>
      <c r="BA84" s="214">
        <f t="shared" si="16"/>
        <v>0</v>
      </c>
      <c r="BB84" s="214">
        <f t="shared" si="17"/>
        <v>0</v>
      </c>
      <c r="BC84" s="214">
        <f t="shared" si="18"/>
        <v>0</v>
      </c>
      <c r="BD84" s="214">
        <f t="shared" si="19"/>
        <v>0</v>
      </c>
      <c r="BE84" s="214">
        <f t="shared" si="20"/>
        <v>0</v>
      </c>
      <c r="BF84" s="214">
        <f t="shared" si="21"/>
        <v>0</v>
      </c>
      <c r="BI84" s="217" t="str">
        <f>IF(OR(E84="",F84="",G84=""),"M",1)</f>
        <v>M</v>
      </c>
      <c r="BJ84" s="217" t="str">
        <f>IF(OR(H84="",I84="",J84=""),"M",1)</f>
        <v>M</v>
      </c>
      <c r="BK84" s="217" t="str">
        <f>IF(OR(K84="",L84="",M84=""),"M",1)</f>
        <v>M</v>
      </c>
      <c r="BL84" s="217" t="str">
        <f>IF(OR(N84="",O84="",P84=""),"M",1)</f>
        <v>M</v>
      </c>
      <c r="BM84" s="217" t="str">
        <f>IF(OR(Q84="",R84="",S84=""),"M",1)</f>
        <v>M</v>
      </c>
      <c r="BN84" s="217">
        <f>IF(AND(BI84="M",BJ84="M",BK84="M",BL84="M",BM84="M",D84=""),0,1)</f>
        <v>0</v>
      </c>
      <c r="BO84" s="216"/>
      <c r="BP84" s="216"/>
      <c r="BQ84" s="218"/>
    </row>
    <row r="85" spans="1:69" ht="17.25" customHeight="1">
      <c r="A85" s="296">
        <v>-14</v>
      </c>
      <c r="B85" s="297">
        <f t="shared" si="28"/>
        <v>45911</v>
      </c>
      <c r="C85" s="298">
        <f t="shared" si="29"/>
        <v>45911</v>
      </c>
      <c r="D85" s="241"/>
      <c r="E85" s="46"/>
      <c r="F85" s="47"/>
      <c r="G85" s="48"/>
      <c r="H85" s="46"/>
      <c r="I85" s="47"/>
      <c r="J85" s="48"/>
      <c r="K85" s="46"/>
      <c r="L85" s="47"/>
      <c r="M85" s="48"/>
      <c r="N85" s="46"/>
      <c r="O85" s="47"/>
      <c r="P85" s="48"/>
      <c r="Q85" s="46"/>
      <c r="R85" s="47"/>
      <c r="S85" s="94"/>
      <c r="T85" s="92" t="str">
        <f>IF(BN85=0,"M",IF(D85="p1",AL85,IF(D85="p2",AM85,IF(D85="A",0,((E85*F85)*G85/0.6)+((H85*I85)*J85/0.6)+((K85*L85)*M85/0.6)+((N85*O85)*P85/0.6)+((Q85*R85)*S85/0.6)))))</f>
        <v>M</v>
      </c>
      <c r="U85" s="264" t="str">
        <f t="shared" si="23"/>
        <v>M</v>
      </c>
      <c r="V85" s="91"/>
      <c r="W85" s="127"/>
      <c r="X85" s="208">
        <f t="shared" si="2"/>
        <v>0</v>
      </c>
      <c r="Y85" s="209"/>
      <c r="Z85" s="209">
        <f t="shared" si="26"/>
        <v>0</v>
      </c>
      <c r="AA85" s="209">
        <f t="shared" si="27"/>
        <v>1</v>
      </c>
      <c r="AB85" s="209"/>
      <c r="AC85" s="257"/>
      <c r="AD85" s="261"/>
      <c r="AE85" s="234"/>
      <c r="AF85" s="234"/>
      <c r="AG85" s="234"/>
      <c r="AH85" s="234"/>
      <c r="AI85" s="234"/>
      <c r="AL85" s="212" t="b">
        <f t="shared" si="24"/>
        <v>0</v>
      </c>
      <c r="AM85" s="212" t="b">
        <f t="shared" si="25"/>
        <v>0</v>
      </c>
      <c r="AN85" s="212" t="str">
        <f>IF(D85="p1",AQ85,"no")</f>
        <v>no</v>
      </c>
      <c r="AO85" s="212" t="str">
        <f>IF(D85="p2",AQ85,"no")</f>
        <v>no</v>
      </c>
      <c r="AP85" s="213"/>
      <c r="AQ85" s="212">
        <f>WEEKDAY(C85)</f>
        <v>5</v>
      </c>
      <c r="AR85" s="214" t="str">
        <f t="shared" si="6"/>
        <v>M</v>
      </c>
      <c r="AS85" s="214" t="str">
        <f t="shared" si="10"/>
        <v>M</v>
      </c>
      <c r="AT85" s="214">
        <f t="shared" si="11"/>
        <v>0.70833333333333348</v>
      </c>
      <c r="AU85" s="214" t="str">
        <f t="shared" si="12"/>
        <v>M</v>
      </c>
      <c r="AV85" s="214" t="str">
        <f t="shared" si="13"/>
        <v>M</v>
      </c>
      <c r="AW85" s="214">
        <f t="shared" si="14"/>
        <v>0.70833333333333348</v>
      </c>
      <c r="AX85" s="214" t="str">
        <f t="shared" si="15"/>
        <v>M</v>
      </c>
      <c r="AY85" s="215"/>
      <c r="AZ85" s="214">
        <f t="shared" si="8"/>
        <v>0</v>
      </c>
      <c r="BA85" s="214">
        <f t="shared" si="16"/>
        <v>0</v>
      </c>
      <c r="BB85" s="214">
        <f t="shared" si="17"/>
        <v>0</v>
      </c>
      <c r="BC85" s="214">
        <f t="shared" si="18"/>
        <v>0</v>
      </c>
      <c r="BD85" s="214">
        <f t="shared" si="19"/>
        <v>0</v>
      </c>
      <c r="BE85" s="214">
        <f t="shared" si="20"/>
        <v>0</v>
      </c>
      <c r="BF85" s="214">
        <f t="shared" si="21"/>
        <v>0</v>
      </c>
      <c r="BI85" s="217" t="str">
        <f>IF(OR(E85="",F85="",G85=""),"M",1)</f>
        <v>M</v>
      </c>
      <c r="BJ85" s="217" t="str">
        <f>IF(OR(H85="",I85="",J85=""),"M",1)</f>
        <v>M</v>
      </c>
      <c r="BK85" s="217" t="str">
        <f>IF(OR(K85="",L85="",M85=""),"M",1)</f>
        <v>M</v>
      </c>
      <c r="BL85" s="217" t="str">
        <f>IF(OR(N85="",O85="",P85=""),"M",1)</f>
        <v>M</v>
      </c>
      <c r="BM85" s="217" t="str">
        <f>IF(OR(Q85="",R85="",S85=""),"M",1)</f>
        <v>M</v>
      </c>
      <c r="BN85" s="217">
        <f>IF(AND(BI85="M",BJ85="M",BK85="M",BL85="M",BM85="M",D85=""),0,1)</f>
        <v>0</v>
      </c>
      <c r="BO85" s="216"/>
      <c r="BP85" s="216"/>
      <c r="BQ85" s="218"/>
    </row>
    <row r="86" spans="1:69" ht="17.25" customHeight="1">
      <c r="A86" s="296">
        <v>-13</v>
      </c>
      <c r="B86" s="297">
        <f t="shared" si="28"/>
        <v>45912</v>
      </c>
      <c r="C86" s="298">
        <f t="shared" si="29"/>
        <v>45912</v>
      </c>
      <c r="D86" s="242"/>
      <c r="E86" s="46"/>
      <c r="F86" s="47"/>
      <c r="G86" s="48"/>
      <c r="H86" s="46"/>
      <c r="I86" s="47"/>
      <c r="J86" s="48"/>
      <c r="K86" s="46"/>
      <c r="L86" s="47"/>
      <c r="M86" s="48"/>
      <c r="N86" s="46"/>
      <c r="O86" s="47"/>
      <c r="P86" s="48"/>
      <c r="Q86" s="46"/>
      <c r="R86" s="47"/>
      <c r="S86" s="94"/>
      <c r="T86" s="92" t="str">
        <f>IF(BN86=0,"M",IF(D86="p1",AL86,IF(D86="p2",AM86,IF(D86="A",0,((E86*F86)*G86/0.6)+((H86*I86)*J86/0.6)+((K86*L86)*M86/0.6)+((N86*O86)*P86/0.6)+((Q86*R86)*S86/0.6)))))</f>
        <v>M</v>
      </c>
      <c r="U86" s="264" t="str">
        <f t="shared" si="23"/>
        <v>M</v>
      </c>
      <c r="V86" s="91"/>
      <c r="W86" s="127"/>
      <c r="X86" s="208">
        <f t="shared" si="2"/>
        <v>0</v>
      </c>
      <c r="Y86" s="209"/>
      <c r="Z86" s="209">
        <f t="shared" si="26"/>
        <v>0</v>
      </c>
      <c r="AA86" s="209">
        <f t="shared" si="27"/>
        <v>1</v>
      </c>
      <c r="AB86" s="209"/>
      <c r="AC86" s="257"/>
      <c r="AD86" s="261"/>
      <c r="AE86" s="234"/>
      <c r="AF86" s="234"/>
      <c r="AG86" s="234"/>
      <c r="AH86" s="234"/>
      <c r="AI86" s="234"/>
      <c r="AL86" s="212" t="b">
        <f t="shared" si="24"/>
        <v>0</v>
      </c>
      <c r="AM86" s="212" t="b">
        <f t="shared" si="25"/>
        <v>0</v>
      </c>
      <c r="AN86" s="212" t="str">
        <f>IF(D86="p1",AQ86,"no")</f>
        <v>no</v>
      </c>
      <c r="AO86" s="212" t="str">
        <f>IF(D86="p2",AQ86,"no")</f>
        <v>no</v>
      </c>
      <c r="AP86" s="213"/>
      <c r="AQ86" s="212">
        <f>WEEKDAY(C86)</f>
        <v>6</v>
      </c>
      <c r="AR86" s="214" t="str">
        <f t="shared" si="6"/>
        <v>M</v>
      </c>
      <c r="AS86" s="214" t="str">
        <f t="shared" si="10"/>
        <v>M</v>
      </c>
      <c r="AT86" s="214">
        <f t="shared" si="11"/>
        <v>0.70833333333333348</v>
      </c>
      <c r="AU86" s="214" t="str">
        <f t="shared" si="12"/>
        <v>M</v>
      </c>
      <c r="AV86" s="214" t="str">
        <f t="shared" si="13"/>
        <v>M</v>
      </c>
      <c r="AW86" s="214">
        <f t="shared" si="14"/>
        <v>0.70833333333333348</v>
      </c>
      <c r="AX86" s="214" t="str">
        <f t="shared" si="15"/>
        <v>M</v>
      </c>
      <c r="AY86" s="215"/>
      <c r="AZ86" s="214">
        <f t="shared" si="8"/>
        <v>0</v>
      </c>
      <c r="BA86" s="214">
        <f t="shared" si="16"/>
        <v>0</v>
      </c>
      <c r="BB86" s="214">
        <f t="shared" si="17"/>
        <v>0</v>
      </c>
      <c r="BC86" s="214">
        <f t="shared" si="18"/>
        <v>0</v>
      </c>
      <c r="BD86" s="214">
        <f t="shared" si="19"/>
        <v>0</v>
      </c>
      <c r="BE86" s="214">
        <f t="shared" si="20"/>
        <v>0</v>
      </c>
      <c r="BF86" s="214">
        <f t="shared" si="21"/>
        <v>0</v>
      </c>
      <c r="BI86" s="217" t="str">
        <f>IF(OR(E86="",F86="",G86=""),"M",1)</f>
        <v>M</v>
      </c>
      <c r="BJ86" s="217" t="str">
        <f>IF(OR(H86="",I86="",J86=""),"M",1)</f>
        <v>M</v>
      </c>
      <c r="BK86" s="217" t="str">
        <f>IF(OR(K86="",L86="",M86=""),"M",1)</f>
        <v>M</v>
      </c>
      <c r="BL86" s="217" t="str">
        <f>IF(OR(N86="",O86="",P86=""),"M",1)</f>
        <v>M</v>
      </c>
      <c r="BM86" s="217" t="str">
        <f>IF(OR(Q86="",R86="",S86=""),"M",1)</f>
        <v>M</v>
      </c>
      <c r="BN86" s="217">
        <f>IF(AND(BI86="M",BJ86="M",BK86="M",BL86="M",BM86="M",D86=""),0,1)</f>
        <v>0</v>
      </c>
      <c r="BO86" s="216"/>
      <c r="BP86" s="216"/>
      <c r="BQ86" s="218"/>
    </row>
    <row r="87" spans="1:69" ht="17.25" customHeight="1">
      <c r="A87" s="296">
        <v>-12</v>
      </c>
      <c r="B87" s="297">
        <f t="shared" si="28"/>
        <v>45913</v>
      </c>
      <c r="C87" s="298">
        <f t="shared" si="29"/>
        <v>45913</v>
      </c>
      <c r="D87" s="241"/>
      <c r="E87" s="46"/>
      <c r="F87" s="47"/>
      <c r="G87" s="48"/>
      <c r="H87" s="46"/>
      <c r="I87" s="47"/>
      <c r="J87" s="48"/>
      <c r="K87" s="46"/>
      <c r="L87" s="47"/>
      <c r="M87" s="48"/>
      <c r="N87" s="46"/>
      <c r="O87" s="47"/>
      <c r="P87" s="48"/>
      <c r="Q87" s="46"/>
      <c r="R87" s="47"/>
      <c r="S87" s="94"/>
      <c r="T87" s="92" t="str">
        <f>IF(BN87=0,"M",IF(D87="p1",AL87,IF(D87="p2",AM87,IF(D87="A",0,((E87*F87)*G87/0.6)+((H87*I87)*J87/0.6)+((K87*L87)*M87/0.6)+((N87*O87)*P87/0.6)+((Q87*R87)*S87/0.6)))))</f>
        <v>M</v>
      </c>
      <c r="U87" s="264" t="str">
        <f t="shared" si="23"/>
        <v>M</v>
      </c>
      <c r="V87" s="91"/>
      <c r="W87" s="127"/>
      <c r="X87" s="208">
        <f t="shared" si="2"/>
        <v>0</v>
      </c>
      <c r="Y87" s="209"/>
      <c r="Z87" s="209">
        <f t="shared" si="26"/>
        <v>0</v>
      </c>
      <c r="AA87" s="209">
        <f t="shared" si="27"/>
        <v>1</v>
      </c>
      <c r="AB87" s="209"/>
      <c r="AC87" s="257"/>
      <c r="AD87" s="261"/>
      <c r="AE87" s="234"/>
      <c r="AF87" s="234"/>
      <c r="AG87" s="234"/>
      <c r="AH87" s="234"/>
      <c r="AI87" s="234"/>
      <c r="AL87" s="212" t="b">
        <f t="shared" si="24"/>
        <v>0</v>
      </c>
      <c r="AM87" s="212" t="b">
        <f t="shared" si="25"/>
        <v>0</v>
      </c>
      <c r="AN87" s="212" t="str">
        <f>IF(D87="p1",AQ87,"no")</f>
        <v>no</v>
      </c>
      <c r="AO87" s="212" t="str">
        <f>IF(D87="p2",AQ87,"no")</f>
        <v>no</v>
      </c>
      <c r="AP87" s="213"/>
      <c r="AQ87" s="212">
        <f>WEEKDAY(C87)</f>
        <v>7</v>
      </c>
      <c r="AR87" s="214" t="str">
        <f t="shared" si="6"/>
        <v>M</v>
      </c>
      <c r="AS87" s="214" t="str">
        <f t="shared" si="10"/>
        <v>M</v>
      </c>
      <c r="AT87" s="214">
        <f t="shared" si="11"/>
        <v>0.70833333333333348</v>
      </c>
      <c r="AU87" s="214" t="str">
        <f t="shared" si="12"/>
        <v>M</v>
      </c>
      <c r="AV87" s="214" t="str">
        <f t="shared" si="13"/>
        <v>M</v>
      </c>
      <c r="AW87" s="214">
        <f t="shared" si="14"/>
        <v>0.70833333333333348</v>
      </c>
      <c r="AX87" s="214" t="str">
        <f t="shared" si="15"/>
        <v>M</v>
      </c>
      <c r="AY87" s="215"/>
      <c r="AZ87" s="214">
        <f t="shared" si="8"/>
        <v>0</v>
      </c>
      <c r="BA87" s="214">
        <f t="shared" si="16"/>
        <v>0</v>
      </c>
      <c r="BB87" s="214">
        <f t="shared" si="17"/>
        <v>0</v>
      </c>
      <c r="BC87" s="214">
        <f t="shared" si="18"/>
        <v>0</v>
      </c>
      <c r="BD87" s="214">
        <f t="shared" si="19"/>
        <v>0</v>
      </c>
      <c r="BE87" s="214">
        <f t="shared" si="20"/>
        <v>0</v>
      </c>
      <c r="BF87" s="214">
        <f t="shared" si="21"/>
        <v>0</v>
      </c>
      <c r="BI87" s="217" t="str">
        <f>IF(OR(E87="",F87="",G87=""),"M",1)</f>
        <v>M</v>
      </c>
      <c r="BJ87" s="217" t="str">
        <f>IF(OR(H87="",I87="",J87=""),"M",1)</f>
        <v>M</v>
      </c>
      <c r="BK87" s="217" t="str">
        <f>IF(OR(K87="",L87="",M87=""),"M",1)</f>
        <v>M</v>
      </c>
      <c r="BL87" s="217" t="str">
        <f>IF(OR(N87="",O87="",P87=""),"M",1)</f>
        <v>M</v>
      </c>
      <c r="BM87" s="217" t="str">
        <f>IF(OR(Q87="",R87="",S87=""),"M",1)</f>
        <v>M</v>
      </c>
      <c r="BN87" s="217">
        <f>IF(AND(BI87="M",BJ87="M",BK87="M",BL87="M",BM87="M",D87=""),0,1)</f>
        <v>0</v>
      </c>
      <c r="BO87" s="216"/>
      <c r="BP87" s="216"/>
      <c r="BQ87" s="218"/>
    </row>
    <row r="88" spans="1:69" ht="17.25" customHeight="1">
      <c r="A88" s="296">
        <v>-11</v>
      </c>
      <c r="B88" s="297">
        <f t="shared" si="28"/>
        <v>45914</v>
      </c>
      <c r="C88" s="298">
        <f t="shared" si="29"/>
        <v>45914</v>
      </c>
      <c r="D88" s="242"/>
      <c r="E88" s="46"/>
      <c r="F88" s="47"/>
      <c r="G88" s="48"/>
      <c r="H88" s="46"/>
      <c r="I88" s="47"/>
      <c r="J88" s="48"/>
      <c r="K88" s="46"/>
      <c r="L88" s="47"/>
      <c r="M88" s="48"/>
      <c r="N88" s="46"/>
      <c r="O88" s="47"/>
      <c r="P88" s="48"/>
      <c r="Q88" s="46"/>
      <c r="R88" s="47"/>
      <c r="S88" s="94"/>
      <c r="T88" s="92" t="str">
        <f>IF(BN88=0,"M",IF(D88="p1",AL88,IF(D88="p2",AM88,IF(D88="A",0,((E88*F88)*G88/0.6)+((H88*I88)*J88/0.6)+((K88*L88)*M88/0.6)+((N88*O88)*P88/0.6)+((Q88*R88)*S88/0.6)))))</f>
        <v>M</v>
      </c>
      <c r="U88" s="264" t="str">
        <f t="shared" si="23"/>
        <v>M</v>
      </c>
      <c r="V88" s="91"/>
      <c r="W88" s="127"/>
      <c r="X88" s="208">
        <f t="shared" si="2"/>
        <v>0</v>
      </c>
      <c r="Y88" s="209"/>
      <c r="Z88" s="209">
        <f t="shared" si="26"/>
        <v>0</v>
      </c>
      <c r="AA88" s="209">
        <f t="shared" si="27"/>
        <v>1</v>
      </c>
      <c r="AB88" s="209"/>
      <c r="AC88" s="257"/>
      <c r="AD88" s="261"/>
      <c r="AE88" s="234"/>
      <c r="AF88" s="234"/>
      <c r="AG88" s="234"/>
      <c r="AH88" s="234"/>
      <c r="AI88" s="234"/>
      <c r="AL88" s="212" t="b">
        <f t="shared" si="24"/>
        <v>0</v>
      </c>
      <c r="AM88" s="212" t="b">
        <f t="shared" si="25"/>
        <v>0</v>
      </c>
      <c r="AN88" s="212" t="str">
        <f>IF(D88="p1",AQ88,"no")</f>
        <v>no</v>
      </c>
      <c r="AO88" s="212" t="str">
        <f>IF(D88="p2",AQ88,"no")</f>
        <v>no</v>
      </c>
      <c r="AP88" s="213"/>
      <c r="AQ88" s="212">
        <f>WEEKDAY(C88)</f>
        <v>1</v>
      </c>
      <c r="AR88" s="214" t="str">
        <f t="shared" si="6"/>
        <v>M</v>
      </c>
      <c r="AS88" s="214" t="str">
        <f t="shared" si="10"/>
        <v>M</v>
      </c>
      <c r="AT88" s="214">
        <f t="shared" si="11"/>
        <v>0.70833333333333348</v>
      </c>
      <c r="AU88" s="214" t="str">
        <f t="shared" si="12"/>
        <v>M</v>
      </c>
      <c r="AV88" s="214" t="str">
        <f t="shared" si="13"/>
        <v>M</v>
      </c>
      <c r="AW88" s="214">
        <f t="shared" si="14"/>
        <v>0.70833333333333348</v>
      </c>
      <c r="AX88" s="214" t="str">
        <f t="shared" si="15"/>
        <v>M</v>
      </c>
      <c r="AY88" s="215"/>
      <c r="AZ88" s="214">
        <f t="shared" si="8"/>
        <v>0</v>
      </c>
      <c r="BA88" s="214">
        <f t="shared" si="16"/>
        <v>0</v>
      </c>
      <c r="BB88" s="214">
        <f t="shared" si="17"/>
        <v>0</v>
      </c>
      <c r="BC88" s="214">
        <f t="shared" si="18"/>
        <v>0</v>
      </c>
      <c r="BD88" s="214">
        <f t="shared" si="19"/>
        <v>0</v>
      </c>
      <c r="BE88" s="214">
        <f t="shared" si="20"/>
        <v>0</v>
      </c>
      <c r="BF88" s="214">
        <f t="shared" si="21"/>
        <v>0</v>
      </c>
      <c r="BI88" s="217" t="str">
        <f>IF(OR(E88="",F88="",G88=""),"M",1)</f>
        <v>M</v>
      </c>
      <c r="BJ88" s="217" t="str">
        <f>IF(OR(H88="",I88="",J88=""),"M",1)</f>
        <v>M</v>
      </c>
      <c r="BK88" s="217" t="str">
        <f>IF(OR(K88="",L88="",M88=""),"M",1)</f>
        <v>M</v>
      </c>
      <c r="BL88" s="217" t="str">
        <f>IF(OR(N88="",O88="",P88=""),"M",1)</f>
        <v>M</v>
      </c>
      <c r="BM88" s="217" t="str">
        <f>IF(OR(Q88="",R88="",S88=""),"M",1)</f>
        <v>M</v>
      </c>
      <c r="BN88" s="217">
        <f>IF(AND(BI88="M",BJ88="M",BK88="M",BL88="M",BM88="M",D88=""),0,1)</f>
        <v>0</v>
      </c>
      <c r="BO88" s="216"/>
      <c r="BP88" s="216"/>
      <c r="BQ88" s="218"/>
    </row>
    <row r="89" spans="1:69" ht="17.25" customHeight="1">
      <c r="A89" s="296">
        <v>-10</v>
      </c>
      <c r="B89" s="297">
        <f t="shared" si="28"/>
        <v>45915</v>
      </c>
      <c r="C89" s="298">
        <f t="shared" si="29"/>
        <v>45915</v>
      </c>
      <c r="D89" s="241"/>
      <c r="E89" s="46"/>
      <c r="F89" s="47"/>
      <c r="G89" s="48"/>
      <c r="H89" s="46"/>
      <c r="I89" s="47"/>
      <c r="J89" s="48"/>
      <c r="K89" s="46"/>
      <c r="L89" s="47"/>
      <c r="M89" s="48"/>
      <c r="N89" s="46"/>
      <c r="O89" s="47"/>
      <c r="P89" s="48"/>
      <c r="Q89" s="46"/>
      <c r="R89" s="47"/>
      <c r="S89" s="94"/>
      <c r="T89" s="92" t="str">
        <f>IF(BN89=0,"M",IF(D89="p1",AL89,IF(D89="p2",AM89,IF(D89="A",0,((E89*F89)*G89/0.6)+((H89*I89)*J89/0.6)+((K89*L89)*M89/0.6)+((N89*O89)*P89/0.6)+((Q89*R89)*S89/0.6)))))</f>
        <v>M</v>
      </c>
      <c r="U89" s="264" t="str">
        <f t="shared" si="23"/>
        <v>M</v>
      </c>
      <c r="V89" s="91"/>
      <c r="W89" s="127"/>
      <c r="X89" s="208">
        <f t="shared" si="2"/>
        <v>0</v>
      </c>
      <c r="Y89" s="209"/>
      <c r="Z89" s="209">
        <f t="shared" si="26"/>
        <v>0</v>
      </c>
      <c r="AA89" s="209">
        <f t="shared" si="27"/>
        <v>1</v>
      </c>
      <c r="AB89" s="209"/>
      <c r="AC89" s="257"/>
      <c r="AD89" s="261"/>
      <c r="AE89" s="234"/>
      <c r="AF89" s="234"/>
      <c r="AG89" s="234"/>
      <c r="AH89" s="234"/>
      <c r="AI89" s="234"/>
      <c r="AL89" s="212" t="b">
        <f t="shared" si="24"/>
        <v>0</v>
      </c>
      <c r="AM89" s="212" t="b">
        <f t="shared" si="25"/>
        <v>0</v>
      </c>
      <c r="AN89" s="212" t="str">
        <f>IF(D89="p1",AQ89,"no")</f>
        <v>no</v>
      </c>
      <c r="AO89" s="212" t="str">
        <f>IF(D89="p2",AQ89,"no")</f>
        <v>no</v>
      </c>
      <c r="AP89" s="213"/>
      <c r="AQ89" s="212">
        <f>WEEKDAY(C89)</f>
        <v>2</v>
      </c>
      <c r="AR89" s="214" t="str">
        <f t="shared" si="6"/>
        <v>M</v>
      </c>
      <c r="AS89" s="214" t="str">
        <f t="shared" si="10"/>
        <v>M</v>
      </c>
      <c r="AT89" s="214">
        <f t="shared" si="11"/>
        <v>0.70833333333333348</v>
      </c>
      <c r="AU89" s="214" t="str">
        <f t="shared" si="12"/>
        <v>M</v>
      </c>
      <c r="AV89" s="214" t="str">
        <f t="shared" si="13"/>
        <v>M</v>
      </c>
      <c r="AW89" s="214">
        <f t="shared" si="14"/>
        <v>0.70833333333333348</v>
      </c>
      <c r="AX89" s="214" t="str">
        <f t="shared" si="15"/>
        <v>M</v>
      </c>
      <c r="AY89" s="215"/>
      <c r="AZ89" s="214">
        <f t="shared" si="8"/>
        <v>0</v>
      </c>
      <c r="BA89" s="214">
        <f t="shared" si="16"/>
        <v>0</v>
      </c>
      <c r="BB89" s="214">
        <f t="shared" si="17"/>
        <v>0</v>
      </c>
      <c r="BC89" s="214">
        <f t="shared" si="18"/>
        <v>0</v>
      </c>
      <c r="BD89" s="214">
        <f t="shared" si="19"/>
        <v>0</v>
      </c>
      <c r="BE89" s="214">
        <f t="shared" si="20"/>
        <v>0</v>
      </c>
      <c r="BF89" s="214">
        <f t="shared" si="21"/>
        <v>0</v>
      </c>
      <c r="BI89" s="217" t="str">
        <f>IF(OR(E89="",F89="",G89=""),"M",1)</f>
        <v>M</v>
      </c>
      <c r="BJ89" s="217" t="str">
        <f>IF(OR(H89="",I89="",J89=""),"M",1)</f>
        <v>M</v>
      </c>
      <c r="BK89" s="217" t="str">
        <f>IF(OR(K89="",L89="",M89=""),"M",1)</f>
        <v>M</v>
      </c>
      <c r="BL89" s="217" t="str">
        <f>IF(OR(N89="",O89="",P89=""),"M",1)</f>
        <v>M</v>
      </c>
      <c r="BM89" s="217" t="str">
        <f>IF(OR(Q89="",R89="",S89=""),"M",1)</f>
        <v>M</v>
      </c>
      <c r="BN89" s="217">
        <f>IF(AND(BI89="M",BJ89="M",BK89="M",BL89="M",BM89="M",D89=""),0,1)</f>
        <v>0</v>
      </c>
      <c r="BO89" s="216"/>
      <c r="BP89" s="216"/>
      <c r="BQ89" s="218"/>
    </row>
    <row r="90" spans="1:69" ht="17.25" customHeight="1">
      <c r="A90" s="296">
        <v>-9</v>
      </c>
      <c r="B90" s="297">
        <f t="shared" si="28"/>
        <v>45916</v>
      </c>
      <c r="C90" s="298">
        <f t="shared" si="29"/>
        <v>45916</v>
      </c>
      <c r="D90" s="242"/>
      <c r="E90" s="46"/>
      <c r="F90" s="47"/>
      <c r="G90" s="48"/>
      <c r="H90" s="46"/>
      <c r="I90" s="47"/>
      <c r="J90" s="48"/>
      <c r="K90" s="46"/>
      <c r="L90" s="47"/>
      <c r="M90" s="48"/>
      <c r="N90" s="46"/>
      <c r="O90" s="47"/>
      <c r="P90" s="48"/>
      <c r="Q90" s="46"/>
      <c r="R90" s="47"/>
      <c r="S90" s="94"/>
      <c r="T90" s="92" t="str">
        <f>IF(BN90=0,"M",IF(D90="p1",AL90,IF(D90="p2",AM90,IF(D90="A",0,((E90*F90)*G90/0.6)+((H90*I90)*J90/0.6)+((K90*L90)*M90/0.6)+((N90*O90)*P90/0.6)+((Q90*R90)*S90/0.6)))))</f>
        <v>M</v>
      </c>
      <c r="U90" s="264" t="str">
        <f t="shared" si="23"/>
        <v>M</v>
      </c>
      <c r="V90" s="91"/>
      <c r="W90" s="127"/>
      <c r="X90" s="208">
        <f t="shared" si="2"/>
        <v>0</v>
      </c>
      <c r="Y90" s="209"/>
      <c r="Z90" s="209">
        <f t="shared" si="26"/>
        <v>0</v>
      </c>
      <c r="AA90" s="209">
        <f t="shared" si="27"/>
        <v>1</v>
      </c>
      <c r="AB90" s="209"/>
      <c r="AC90" s="257"/>
      <c r="AD90" s="261"/>
      <c r="AE90" s="234"/>
      <c r="AF90" s="234"/>
      <c r="AG90" s="234"/>
      <c r="AH90" s="234"/>
      <c r="AI90" s="234"/>
      <c r="AL90" s="212" t="b">
        <f t="shared" si="24"/>
        <v>0</v>
      </c>
      <c r="AM90" s="212" t="b">
        <f t="shared" si="25"/>
        <v>0</v>
      </c>
      <c r="AN90" s="212" t="str">
        <f>IF(D90="p1",AQ90,"no")</f>
        <v>no</v>
      </c>
      <c r="AO90" s="212" t="str">
        <f>IF(D90="p2",AQ90,"no")</f>
        <v>no</v>
      </c>
      <c r="AP90" s="213"/>
      <c r="AQ90" s="212">
        <f>WEEKDAY(C90)</f>
        <v>3</v>
      </c>
      <c r="AR90" s="214" t="str">
        <f t="shared" si="6"/>
        <v>M</v>
      </c>
      <c r="AS90" s="214" t="str">
        <f t="shared" si="10"/>
        <v>M</v>
      </c>
      <c r="AT90" s="214">
        <f t="shared" si="11"/>
        <v>0.70833333333333348</v>
      </c>
      <c r="AU90" s="214" t="str">
        <f t="shared" si="12"/>
        <v>M</v>
      </c>
      <c r="AV90" s="214" t="str">
        <f t="shared" si="13"/>
        <v>M</v>
      </c>
      <c r="AW90" s="214">
        <f t="shared" si="14"/>
        <v>0.70833333333333348</v>
      </c>
      <c r="AX90" s="214" t="str">
        <f t="shared" si="15"/>
        <v>M</v>
      </c>
      <c r="AY90" s="215"/>
      <c r="AZ90" s="214">
        <f t="shared" si="8"/>
        <v>0</v>
      </c>
      <c r="BA90" s="214">
        <f t="shared" si="16"/>
        <v>0</v>
      </c>
      <c r="BB90" s="214">
        <f t="shared" si="17"/>
        <v>0</v>
      </c>
      <c r="BC90" s="214">
        <f t="shared" si="18"/>
        <v>0</v>
      </c>
      <c r="BD90" s="214">
        <f t="shared" si="19"/>
        <v>0</v>
      </c>
      <c r="BE90" s="214">
        <f t="shared" si="20"/>
        <v>0</v>
      </c>
      <c r="BF90" s="214">
        <f t="shared" si="21"/>
        <v>0</v>
      </c>
      <c r="BI90" s="217" t="str">
        <f>IF(OR(E90="",F90="",G90=""),"M",1)</f>
        <v>M</v>
      </c>
      <c r="BJ90" s="217" t="str">
        <f>IF(OR(H90="",I90="",J90=""),"M",1)</f>
        <v>M</v>
      </c>
      <c r="BK90" s="217" t="str">
        <f>IF(OR(K90="",L90="",M90=""),"M",1)</f>
        <v>M</v>
      </c>
      <c r="BL90" s="217" t="str">
        <f>IF(OR(N90="",O90="",P90=""),"M",1)</f>
        <v>M</v>
      </c>
      <c r="BM90" s="217" t="str">
        <f>IF(OR(Q90="",R90="",S90=""),"M",1)</f>
        <v>M</v>
      </c>
      <c r="BN90" s="217">
        <f>IF(AND(BI90="M",BJ90="M",BK90="M",BL90="M",BM90="M",D90=""),0,1)</f>
        <v>0</v>
      </c>
      <c r="BO90" s="216"/>
      <c r="BP90" s="216"/>
      <c r="BQ90" s="218"/>
    </row>
    <row r="91" spans="1:69" ht="17.25" customHeight="1">
      <c r="A91" s="296">
        <v>-8</v>
      </c>
      <c r="B91" s="297">
        <f t="shared" si="28"/>
        <v>45917</v>
      </c>
      <c r="C91" s="298">
        <f t="shared" si="29"/>
        <v>45917</v>
      </c>
      <c r="D91" s="241"/>
      <c r="E91" s="46"/>
      <c r="F91" s="47"/>
      <c r="G91" s="48"/>
      <c r="H91" s="46"/>
      <c r="I91" s="47"/>
      <c r="J91" s="48"/>
      <c r="K91" s="46"/>
      <c r="L91" s="47"/>
      <c r="M91" s="48"/>
      <c r="N91" s="46"/>
      <c r="O91" s="47"/>
      <c r="P91" s="48"/>
      <c r="Q91" s="46"/>
      <c r="R91" s="47"/>
      <c r="S91" s="94"/>
      <c r="T91" s="92" t="str">
        <f>IF(BN91=0,"M",IF(D91="p1",AL91,IF(D91="p2",AM91,IF(D91="A",0,((E91*F91)*G91/0.6)+((H91*I91)*J91/0.6)+((K91*L91)*M91/0.6)+((N91*O91)*P91/0.6)+((Q91*R91)*S91/0.6)))))</f>
        <v>M</v>
      </c>
      <c r="U91" s="264" t="str">
        <f t="shared" si="23"/>
        <v>M</v>
      </c>
      <c r="V91" s="91"/>
      <c r="W91" s="127"/>
      <c r="X91" s="208">
        <f t="shared" si="2"/>
        <v>0</v>
      </c>
      <c r="Y91" s="209"/>
      <c r="Z91" s="209">
        <f t="shared" si="26"/>
        <v>0</v>
      </c>
      <c r="AA91" s="209">
        <f t="shared" si="27"/>
        <v>1</v>
      </c>
      <c r="AB91" s="209"/>
      <c r="AC91" s="257"/>
      <c r="AD91" s="261"/>
      <c r="AE91" s="234"/>
      <c r="AF91" s="234"/>
      <c r="AG91" s="234"/>
      <c r="AH91" s="234"/>
      <c r="AI91" s="234"/>
      <c r="AL91" s="212" t="b">
        <f t="shared" si="24"/>
        <v>0</v>
      </c>
      <c r="AM91" s="212" t="b">
        <f t="shared" si="25"/>
        <v>0</v>
      </c>
      <c r="AN91" s="212" t="str">
        <f>IF(D91="p1",AQ91,"no")</f>
        <v>no</v>
      </c>
      <c r="AO91" s="212" t="str">
        <f>IF(D91="p2",AQ91,"no")</f>
        <v>no</v>
      </c>
      <c r="AP91" s="213"/>
      <c r="AQ91" s="212">
        <f>WEEKDAY(C91)</f>
        <v>4</v>
      </c>
      <c r="AR91" s="214" t="str">
        <f t="shared" si="6"/>
        <v>M</v>
      </c>
      <c r="AS91" s="214" t="str">
        <f t="shared" si="10"/>
        <v>M</v>
      </c>
      <c r="AT91" s="214">
        <f t="shared" si="11"/>
        <v>0.70833333333333348</v>
      </c>
      <c r="AU91" s="214" t="str">
        <f t="shared" si="12"/>
        <v>M</v>
      </c>
      <c r="AV91" s="214" t="str">
        <f t="shared" si="13"/>
        <v>M</v>
      </c>
      <c r="AW91" s="214">
        <f t="shared" si="14"/>
        <v>0.70833333333333348</v>
      </c>
      <c r="AX91" s="214" t="str">
        <f t="shared" si="15"/>
        <v>M</v>
      </c>
      <c r="AY91" s="215"/>
      <c r="AZ91" s="214">
        <f t="shared" si="8"/>
        <v>0</v>
      </c>
      <c r="BA91" s="214">
        <f t="shared" si="16"/>
        <v>0</v>
      </c>
      <c r="BB91" s="214">
        <f t="shared" si="17"/>
        <v>0</v>
      </c>
      <c r="BC91" s="214">
        <f t="shared" si="18"/>
        <v>0</v>
      </c>
      <c r="BD91" s="214">
        <f t="shared" si="19"/>
        <v>0</v>
      </c>
      <c r="BE91" s="214">
        <f t="shared" si="20"/>
        <v>0</v>
      </c>
      <c r="BF91" s="214">
        <f t="shared" si="21"/>
        <v>0</v>
      </c>
      <c r="BI91" s="217" t="str">
        <f>IF(OR(E91="",F91="",G91=""),"M",1)</f>
        <v>M</v>
      </c>
      <c r="BJ91" s="217" t="str">
        <f>IF(OR(H91="",I91="",J91=""),"M",1)</f>
        <v>M</v>
      </c>
      <c r="BK91" s="217" t="str">
        <f>IF(OR(K91="",L91="",M91=""),"M",1)</f>
        <v>M</v>
      </c>
      <c r="BL91" s="217" t="str">
        <f>IF(OR(N91="",O91="",P91=""),"M",1)</f>
        <v>M</v>
      </c>
      <c r="BM91" s="217" t="str">
        <f>IF(OR(Q91="",R91="",S91=""),"M",1)</f>
        <v>M</v>
      </c>
      <c r="BN91" s="217">
        <f>IF(AND(BI91="M",BJ91="M",BK91="M",BL91="M",BM91="M",D91=""),0,1)</f>
        <v>0</v>
      </c>
      <c r="BO91" s="216"/>
      <c r="BP91" s="216"/>
      <c r="BQ91" s="218"/>
    </row>
    <row r="92" spans="1:69" ht="17.25" customHeight="1">
      <c r="A92" s="296">
        <v>-7</v>
      </c>
      <c r="B92" s="297">
        <f t="shared" si="28"/>
        <v>45918</v>
      </c>
      <c r="C92" s="298">
        <f t="shared" si="29"/>
        <v>45918</v>
      </c>
      <c r="D92" s="242"/>
      <c r="E92" s="46"/>
      <c r="F92" s="47"/>
      <c r="G92" s="48"/>
      <c r="H92" s="46"/>
      <c r="I92" s="47"/>
      <c r="J92" s="48"/>
      <c r="K92" s="46"/>
      <c r="L92" s="47"/>
      <c r="M92" s="48"/>
      <c r="N92" s="46"/>
      <c r="O92" s="47"/>
      <c r="P92" s="48"/>
      <c r="Q92" s="46"/>
      <c r="R92" s="47"/>
      <c r="S92" s="94"/>
      <c r="T92" s="92" t="str">
        <f>IF(BN92=0,"M",IF(D92="p1",AL92,IF(D92="p2",AM92,IF(D92="A",0,((E92*F92)*G92/0.6)+((H92*I92)*J92/0.6)+((K92*L92)*M92/0.6)+((N92*O92)*P92/0.6)+((Q92*R92)*S92/0.6)))))</f>
        <v>M</v>
      </c>
      <c r="U92" s="264" t="str">
        <f t="shared" si="23"/>
        <v>M</v>
      </c>
      <c r="V92" s="91"/>
      <c r="W92" s="127"/>
      <c r="X92" s="208">
        <f t="shared" si="2"/>
        <v>0</v>
      </c>
      <c r="Y92" s="209"/>
      <c r="Z92" s="209">
        <f t="shared" si="26"/>
        <v>0</v>
      </c>
      <c r="AA92" s="209">
        <f t="shared" si="27"/>
        <v>1</v>
      </c>
      <c r="AB92" s="209"/>
      <c r="AC92" s="257"/>
      <c r="AD92" s="261"/>
      <c r="AE92" s="234"/>
      <c r="AF92" s="234"/>
      <c r="AG92" s="234"/>
      <c r="AH92" s="234"/>
      <c r="AI92" s="234"/>
      <c r="AL92" s="212" t="b">
        <f t="shared" si="24"/>
        <v>0</v>
      </c>
      <c r="AM92" s="212" t="b">
        <f t="shared" si="25"/>
        <v>0</v>
      </c>
      <c r="AN92" s="212" t="str">
        <f>IF(D92="p1",AQ92,"no")</f>
        <v>no</v>
      </c>
      <c r="AO92" s="212" t="str">
        <f>IF(D92="p2",AQ92,"no")</f>
        <v>no</v>
      </c>
      <c r="AP92" s="213"/>
      <c r="AQ92" s="212">
        <f>WEEKDAY(C92)</f>
        <v>5</v>
      </c>
      <c r="AR92" s="214" t="str">
        <f t="shared" ref="AR92:AX98" si="30">AR91</f>
        <v>M</v>
      </c>
      <c r="AS92" s="214" t="str">
        <f t="shared" si="30"/>
        <v>M</v>
      </c>
      <c r="AT92" s="214">
        <f t="shared" si="30"/>
        <v>0.70833333333333348</v>
      </c>
      <c r="AU92" s="214" t="str">
        <f t="shared" si="30"/>
        <v>M</v>
      </c>
      <c r="AV92" s="214" t="str">
        <f t="shared" si="30"/>
        <v>M</v>
      </c>
      <c r="AW92" s="214">
        <f t="shared" si="30"/>
        <v>0.70833333333333348</v>
      </c>
      <c r="AX92" s="214" t="str">
        <f t="shared" si="30"/>
        <v>M</v>
      </c>
      <c r="AY92" s="215"/>
      <c r="AZ92" s="214">
        <f t="shared" ref="AZ92:BF98" si="31">AZ91</f>
        <v>0</v>
      </c>
      <c r="BA92" s="214">
        <f t="shared" si="31"/>
        <v>0</v>
      </c>
      <c r="BB92" s="214">
        <f t="shared" si="31"/>
        <v>0</v>
      </c>
      <c r="BC92" s="214">
        <f t="shared" si="31"/>
        <v>0</v>
      </c>
      <c r="BD92" s="214">
        <f t="shared" si="31"/>
        <v>0</v>
      </c>
      <c r="BE92" s="214">
        <f t="shared" si="31"/>
        <v>0</v>
      </c>
      <c r="BF92" s="214">
        <f t="shared" si="31"/>
        <v>0</v>
      </c>
      <c r="BI92" s="217" t="str">
        <f>IF(OR(E92="",F92="",G92=""),"M",1)</f>
        <v>M</v>
      </c>
      <c r="BJ92" s="217" t="str">
        <f>IF(OR(H92="",I92="",J92=""),"M",1)</f>
        <v>M</v>
      </c>
      <c r="BK92" s="217" t="str">
        <f>IF(OR(K92="",L92="",M92=""),"M",1)</f>
        <v>M</v>
      </c>
      <c r="BL92" s="217" t="str">
        <f>IF(OR(N92="",O92="",P92=""),"M",1)</f>
        <v>M</v>
      </c>
      <c r="BM92" s="217" t="str">
        <f>IF(OR(Q92="",R92="",S92=""),"M",1)</f>
        <v>M</v>
      </c>
      <c r="BN92" s="217">
        <f>IF(AND(BI92="M",BJ92="M",BK92="M",BL92="M",BM92="M",D92=""),0,1)</f>
        <v>0</v>
      </c>
      <c r="BO92" s="216"/>
      <c r="BP92" s="216"/>
      <c r="BQ92" s="218"/>
    </row>
    <row r="93" spans="1:69" ht="17.25" customHeight="1">
      <c r="A93" s="296">
        <v>-6</v>
      </c>
      <c r="B93" s="297">
        <f t="shared" si="28"/>
        <v>45919</v>
      </c>
      <c r="C93" s="298">
        <f t="shared" si="29"/>
        <v>45919</v>
      </c>
      <c r="D93" s="241"/>
      <c r="E93" s="46"/>
      <c r="F93" s="47"/>
      <c r="G93" s="48"/>
      <c r="H93" s="46"/>
      <c r="I93" s="47"/>
      <c r="J93" s="48"/>
      <c r="K93" s="46"/>
      <c r="L93" s="47"/>
      <c r="M93" s="48"/>
      <c r="N93" s="46"/>
      <c r="O93" s="47"/>
      <c r="P93" s="48"/>
      <c r="Q93" s="46"/>
      <c r="R93" s="47"/>
      <c r="S93" s="94"/>
      <c r="T93" s="92" t="str">
        <f>IF(BN93=0,"M",IF(D93="p1",AL93,IF(D93="p2",AM93,IF(D93="A",0,((E93*F93)*G93/0.6)+((H93*I93)*J93/0.6)+((K93*L93)*M93/0.6)+((N93*O93)*P93/0.6)+((Q93*R93)*S93/0.6)))))</f>
        <v>M</v>
      </c>
      <c r="U93" s="264" t="str">
        <f t="shared" si="23"/>
        <v>M</v>
      </c>
      <c r="V93" s="91"/>
      <c r="W93" s="127"/>
      <c r="X93" s="208">
        <f t="shared" si="2"/>
        <v>0</v>
      </c>
      <c r="Y93" s="209"/>
      <c r="Z93" s="209">
        <f t="shared" si="26"/>
        <v>0</v>
      </c>
      <c r="AA93" s="209">
        <f t="shared" si="27"/>
        <v>1</v>
      </c>
      <c r="AB93" s="209"/>
      <c r="AC93" s="257"/>
      <c r="AD93" s="261"/>
      <c r="AE93" s="234"/>
      <c r="AF93" s="234"/>
      <c r="AG93" s="234"/>
      <c r="AH93" s="234"/>
      <c r="AI93" s="234"/>
      <c r="AL93" s="212" t="b">
        <f t="shared" si="24"/>
        <v>0</v>
      </c>
      <c r="AM93" s="212" t="b">
        <f t="shared" si="25"/>
        <v>0</v>
      </c>
      <c r="AN93" s="212" t="str">
        <f>IF(D93="p1",AQ93,"no")</f>
        <v>no</v>
      </c>
      <c r="AO93" s="212" t="str">
        <f>IF(D93="p2",AQ93,"no")</f>
        <v>no</v>
      </c>
      <c r="AP93" s="213"/>
      <c r="AQ93" s="212">
        <f>WEEKDAY(C93)</f>
        <v>6</v>
      </c>
      <c r="AR93" s="214" t="str">
        <f t="shared" si="30"/>
        <v>M</v>
      </c>
      <c r="AS93" s="214" t="str">
        <f t="shared" si="30"/>
        <v>M</v>
      </c>
      <c r="AT93" s="214">
        <f t="shared" si="30"/>
        <v>0.70833333333333348</v>
      </c>
      <c r="AU93" s="214" t="str">
        <f t="shared" si="30"/>
        <v>M</v>
      </c>
      <c r="AV93" s="214" t="str">
        <f t="shared" si="30"/>
        <v>M</v>
      </c>
      <c r="AW93" s="214">
        <f t="shared" si="30"/>
        <v>0.70833333333333348</v>
      </c>
      <c r="AX93" s="214" t="str">
        <f t="shared" si="30"/>
        <v>M</v>
      </c>
      <c r="AY93" s="215"/>
      <c r="AZ93" s="214">
        <f t="shared" si="31"/>
        <v>0</v>
      </c>
      <c r="BA93" s="214">
        <f t="shared" si="31"/>
        <v>0</v>
      </c>
      <c r="BB93" s="214">
        <f t="shared" si="31"/>
        <v>0</v>
      </c>
      <c r="BC93" s="214">
        <f t="shared" si="31"/>
        <v>0</v>
      </c>
      <c r="BD93" s="214">
        <f t="shared" si="31"/>
        <v>0</v>
      </c>
      <c r="BE93" s="214">
        <f t="shared" si="31"/>
        <v>0</v>
      </c>
      <c r="BF93" s="214">
        <f t="shared" si="31"/>
        <v>0</v>
      </c>
      <c r="BI93" s="217" t="str">
        <f>IF(OR(E93="",F93="",G93=""),"M",1)</f>
        <v>M</v>
      </c>
      <c r="BJ93" s="217" t="str">
        <f>IF(OR(H93="",I93="",J93=""),"M",1)</f>
        <v>M</v>
      </c>
      <c r="BK93" s="217" t="str">
        <f>IF(OR(K93="",L93="",M93=""),"M",1)</f>
        <v>M</v>
      </c>
      <c r="BL93" s="217" t="str">
        <f>IF(OR(N93="",O93="",P93=""),"M",1)</f>
        <v>M</v>
      </c>
      <c r="BM93" s="217" t="str">
        <f>IF(OR(Q93="",R93="",S93=""),"M",1)</f>
        <v>M</v>
      </c>
      <c r="BN93" s="217">
        <f>IF(AND(BI93="M",BJ93="M",BK93="M",BL93="M",BM93="M",D93=""),0,1)</f>
        <v>0</v>
      </c>
      <c r="BO93" s="216"/>
      <c r="BP93" s="216"/>
      <c r="BQ93" s="218"/>
    </row>
    <row r="94" spans="1:69" ht="17.25" customHeight="1">
      <c r="A94" s="296">
        <v>-5</v>
      </c>
      <c r="B94" s="297">
        <f t="shared" si="28"/>
        <v>45920</v>
      </c>
      <c r="C94" s="298">
        <f t="shared" si="29"/>
        <v>45920</v>
      </c>
      <c r="D94" s="242"/>
      <c r="E94" s="46"/>
      <c r="F94" s="47"/>
      <c r="G94" s="48"/>
      <c r="H94" s="46"/>
      <c r="I94" s="47"/>
      <c r="J94" s="48"/>
      <c r="K94" s="46"/>
      <c r="L94" s="47"/>
      <c r="M94" s="48"/>
      <c r="N94" s="46"/>
      <c r="O94" s="47"/>
      <c r="P94" s="48"/>
      <c r="Q94" s="46"/>
      <c r="R94" s="47"/>
      <c r="S94" s="94"/>
      <c r="T94" s="92" t="str">
        <f>IF(BN94=0,"M",IF(D94="p1",AL94,IF(D94="p2",AM94,IF(D94="A",0,((E94*F94)*G94/0.6)+((H94*I94)*J94/0.6)+((K94*L94)*M94/0.6)+((N94*O94)*P94/0.6)+((Q94*R94)*S94/0.6)))))</f>
        <v>M</v>
      </c>
      <c r="U94" s="264" t="str">
        <f t="shared" si="23"/>
        <v>M</v>
      </c>
      <c r="V94" s="91"/>
      <c r="W94" s="127"/>
      <c r="X94" s="208">
        <f t="shared" si="2"/>
        <v>0</v>
      </c>
      <c r="Y94" s="209"/>
      <c r="Z94" s="209">
        <f t="shared" si="26"/>
        <v>0</v>
      </c>
      <c r="AA94" s="209">
        <f t="shared" si="27"/>
        <v>1</v>
      </c>
      <c r="AB94" s="209"/>
      <c r="AC94" s="257"/>
      <c r="AD94" s="261"/>
      <c r="AE94" s="234"/>
      <c r="AF94" s="234"/>
      <c r="AG94" s="234"/>
      <c r="AH94" s="234"/>
      <c r="AI94" s="234"/>
      <c r="AL94" s="212" t="b">
        <f t="shared" si="24"/>
        <v>0</v>
      </c>
      <c r="AM94" s="212" t="b">
        <f t="shared" si="25"/>
        <v>0</v>
      </c>
      <c r="AN94" s="212" t="str">
        <f>IF(D94="p1",AQ94,"no")</f>
        <v>no</v>
      </c>
      <c r="AO94" s="212" t="str">
        <f>IF(D94="p2",AQ94,"no")</f>
        <v>no</v>
      </c>
      <c r="AP94" s="213"/>
      <c r="AQ94" s="212">
        <f>WEEKDAY(C94)</f>
        <v>7</v>
      </c>
      <c r="AR94" s="214" t="str">
        <f t="shared" si="30"/>
        <v>M</v>
      </c>
      <c r="AS94" s="214" t="str">
        <f t="shared" si="30"/>
        <v>M</v>
      </c>
      <c r="AT94" s="214">
        <f t="shared" si="30"/>
        <v>0.70833333333333348</v>
      </c>
      <c r="AU94" s="214" t="str">
        <f t="shared" si="30"/>
        <v>M</v>
      </c>
      <c r="AV94" s="214" t="str">
        <f t="shared" si="30"/>
        <v>M</v>
      </c>
      <c r="AW94" s="214">
        <f t="shared" si="30"/>
        <v>0.70833333333333348</v>
      </c>
      <c r="AX94" s="214" t="str">
        <f t="shared" si="30"/>
        <v>M</v>
      </c>
      <c r="AY94" s="215"/>
      <c r="AZ94" s="214">
        <f t="shared" si="31"/>
        <v>0</v>
      </c>
      <c r="BA94" s="214">
        <f t="shared" si="31"/>
        <v>0</v>
      </c>
      <c r="BB94" s="214">
        <f t="shared" si="31"/>
        <v>0</v>
      </c>
      <c r="BC94" s="214">
        <f t="shared" si="31"/>
        <v>0</v>
      </c>
      <c r="BD94" s="214">
        <f t="shared" si="31"/>
        <v>0</v>
      </c>
      <c r="BE94" s="214">
        <f t="shared" si="31"/>
        <v>0</v>
      </c>
      <c r="BF94" s="214">
        <f t="shared" si="31"/>
        <v>0</v>
      </c>
      <c r="BI94" s="217" t="str">
        <f>IF(OR(E94="",F94="",G94=""),"M",1)</f>
        <v>M</v>
      </c>
      <c r="BJ94" s="217" t="str">
        <f>IF(OR(H94="",I94="",J94=""),"M",1)</f>
        <v>M</v>
      </c>
      <c r="BK94" s="217" t="str">
        <f>IF(OR(K94="",L94="",M94=""),"M",1)</f>
        <v>M</v>
      </c>
      <c r="BL94" s="217" t="str">
        <f>IF(OR(N94="",O94="",P94=""),"M",1)</f>
        <v>M</v>
      </c>
      <c r="BM94" s="217" t="str">
        <f>IF(OR(Q94="",R94="",S94=""),"M",1)</f>
        <v>M</v>
      </c>
      <c r="BN94" s="217">
        <f>IF(AND(BI94="M",BJ94="M",BK94="M",BL94="M",BM94="M",D94=""),0,1)</f>
        <v>0</v>
      </c>
      <c r="BO94" s="216"/>
      <c r="BP94" s="216"/>
      <c r="BQ94" s="218"/>
    </row>
    <row r="95" spans="1:69" ht="17.25" customHeight="1">
      <c r="A95" s="296">
        <v>-4</v>
      </c>
      <c r="B95" s="297">
        <f t="shared" si="28"/>
        <v>45921</v>
      </c>
      <c r="C95" s="298">
        <f t="shared" si="29"/>
        <v>45921</v>
      </c>
      <c r="D95" s="241"/>
      <c r="E95" s="46"/>
      <c r="F95" s="47"/>
      <c r="G95" s="48"/>
      <c r="H95" s="46"/>
      <c r="I95" s="47"/>
      <c r="J95" s="48"/>
      <c r="K95" s="46"/>
      <c r="L95" s="47"/>
      <c r="M95" s="48"/>
      <c r="N95" s="46"/>
      <c r="O95" s="47"/>
      <c r="P95" s="48"/>
      <c r="Q95" s="46"/>
      <c r="R95" s="47"/>
      <c r="S95" s="94"/>
      <c r="T95" s="92" t="str">
        <f>IF(BN95=0,"M",IF(D95="p1",AL95,IF(D95="p2",AM95,IF(D95="A",0,((E95*F95)*G95/0.6)+((H95*I95)*J95/0.6)+((K95*L95)*M95/0.6)+((N95*O95)*P95/0.6)+((Q95*R95)*S95/0.6)))))</f>
        <v>M</v>
      </c>
      <c r="U95" s="264" t="str">
        <f t="shared" si="23"/>
        <v>M</v>
      </c>
      <c r="V95" s="91"/>
      <c r="W95" s="127"/>
      <c r="X95" s="208">
        <f t="shared" si="2"/>
        <v>0</v>
      </c>
      <c r="Y95" s="209"/>
      <c r="Z95" s="209">
        <f t="shared" si="26"/>
        <v>0</v>
      </c>
      <c r="AA95" s="209">
        <f t="shared" si="27"/>
        <v>1</v>
      </c>
      <c r="AB95" s="209"/>
      <c r="AC95" s="257"/>
      <c r="AD95" s="261"/>
      <c r="AE95" s="234"/>
      <c r="AF95" s="234"/>
      <c r="AG95" s="234"/>
      <c r="AH95" s="234"/>
      <c r="AI95" s="234"/>
      <c r="AL95" s="212" t="b">
        <f t="shared" si="24"/>
        <v>0</v>
      </c>
      <c r="AM95" s="212" t="b">
        <f t="shared" si="25"/>
        <v>0</v>
      </c>
      <c r="AN95" s="212" t="str">
        <f>IF(D95="p1",AQ95,"no")</f>
        <v>no</v>
      </c>
      <c r="AO95" s="212" t="str">
        <f>IF(D95="p2",AQ95,"no")</f>
        <v>no</v>
      </c>
      <c r="AP95" s="213"/>
      <c r="AQ95" s="212">
        <f>WEEKDAY(C95)</f>
        <v>1</v>
      </c>
      <c r="AR95" s="214" t="str">
        <f t="shared" si="30"/>
        <v>M</v>
      </c>
      <c r="AS95" s="214" t="str">
        <f t="shared" si="30"/>
        <v>M</v>
      </c>
      <c r="AT95" s="214">
        <f t="shared" si="30"/>
        <v>0.70833333333333348</v>
      </c>
      <c r="AU95" s="214" t="str">
        <f t="shared" si="30"/>
        <v>M</v>
      </c>
      <c r="AV95" s="214" t="str">
        <f t="shared" si="30"/>
        <v>M</v>
      </c>
      <c r="AW95" s="214">
        <f t="shared" si="30"/>
        <v>0.70833333333333348</v>
      </c>
      <c r="AX95" s="214" t="str">
        <f t="shared" si="30"/>
        <v>M</v>
      </c>
      <c r="AY95" s="215"/>
      <c r="AZ95" s="214">
        <f t="shared" si="31"/>
        <v>0</v>
      </c>
      <c r="BA95" s="214">
        <f t="shared" si="31"/>
        <v>0</v>
      </c>
      <c r="BB95" s="214">
        <f t="shared" si="31"/>
        <v>0</v>
      </c>
      <c r="BC95" s="214">
        <f t="shared" si="31"/>
        <v>0</v>
      </c>
      <c r="BD95" s="214">
        <f t="shared" si="31"/>
        <v>0</v>
      </c>
      <c r="BE95" s="214">
        <f t="shared" si="31"/>
        <v>0</v>
      </c>
      <c r="BF95" s="214">
        <f t="shared" si="31"/>
        <v>0</v>
      </c>
      <c r="BI95" s="217" t="str">
        <f>IF(OR(E95="",F95="",G95=""),"M",1)</f>
        <v>M</v>
      </c>
      <c r="BJ95" s="217" t="str">
        <f>IF(OR(H95="",I95="",J95=""),"M",1)</f>
        <v>M</v>
      </c>
      <c r="BK95" s="217" t="str">
        <f>IF(OR(K95="",L95="",M95=""),"M",1)</f>
        <v>M</v>
      </c>
      <c r="BL95" s="217" t="str">
        <f>IF(OR(N95="",O95="",P95=""),"M",1)</f>
        <v>M</v>
      </c>
      <c r="BM95" s="217" t="str">
        <f>IF(OR(Q95="",R95="",S95=""),"M",1)</f>
        <v>M</v>
      </c>
      <c r="BN95" s="217">
        <f>IF(AND(BI95="M",BJ95="M",BK95="M",BL95="M",BM95="M",D95=""),0,1)</f>
        <v>0</v>
      </c>
      <c r="BO95" s="216"/>
      <c r="BP95" s="216"/>
      <c r="BQ95" s="218"/>
    </row>
    <row r="96" spans="1:69" ht="17.25" customHeight="1">
      <c r="A96" s="296">
        <v>-3</v>
      </c>
      <c r="B96" s="297">
        <f t="shared" si="28"/>
        <v>45922</v>
      </c>
      <c r="C96" s="298">
        <f t="shared" si="29"/>
        <v>45922</v>
      </c>
      <c r="D96" s="242"/>
      <c r="E96" s="46"/>
      <c r="F96" s="47"/>
      <c r="G96" s="48"/>
      <c r="H96" s="46"/>
      <c r="I96" s="47"/>
      <c r="J96" s="48"/>
      <c r="K96" s="46"/>
      <c r="L96" s="47"/>
      <c r="M96" s="48"/>
      <c r="N96" s="46"/>
      <c r="O96" s="47"/>
      <c r="P96" s="48"/>
      <c r="Q96" s="46"/>
      <c r="R96" s="47"/>
      <c r="S96" s="94"/>
      <c r="T96" s="92" t="str">
        <f>IF(BN96=0,"M",IF(D96="p1",AL96,IF(D96="p2",AM96,IF(D96="A",0,((E96*F96)*G96/0.6)+((H96*I96)*J96/0.6)+((K96*L96)*M96/0.6)+((N96*O96)*P96/0.6)+((Q96*R96)*S96/0.6)))))</f>
        <v>M</v>
      </c>
      <c r="U96" s="264" t="str">
        <f t="shared" si="23"/>
        <v>M</v>
      </c>
      <c r="V96" s="91"/>
      <c r="W96" s="127"/>
      <c r="X96" s="208">
        <f t="shared" si="2"/>
        <v>0</v>
      </c>
      <c r="Y96" s="209"/>
      <c r="Z96" s="209">
        <f t="shared" si="26"/>
        <v>0</v>
      </c>
      <c r="AA96" s="209">
        <f t="shared" si="27"/>
        <v>1</v>
      </c>
      <c r="AB96" s="209"/>
      <c r="AC96" s="257"/>
      <c r="AD96" s="261"/>
      <c r="AE96" s="234"/>
      <c r="AF96" s="234"/>
      <c r="AG96" s="234"/>
      <c r="AH96" s="234"/>
      <c r="AI96" s="234"/>
      <c r="AL96" s="212" t="b">
        <f t="shared" si="24"/>
        <v>0</v>
      </c>
      <c r="AM96" s="212" t="b">
        <f t="shared" si="25"/>
        <v>0</v>
      </c>
      <c r="AN96" s="212" t="str">
        <f>IF(D96="p1",AQ96,"no")</f>
        <v>no</v>
      </c>
      <c r="AO96" s="212" t="str">
        <f>IF(D96="p2",AQ96,"no")</f>
        <v>no</v>
      </c>
      <c r="AP96" s="213"/>
      <c r="AQ96" s="212">
        <f>WEEKDAY(C96)</f>
        <v>2</v>
      </c>
      <c r="AR96" s="214" t="str">
        <f t="shared" si="30"/>
        <v>M</v>
      </c>
      <c r="AS96" s="214" t="str">
        <f t="shared" si="30"/>
        <v>M</v>
      </c>
      <c r="AT96" s="214">
        <f t="shared" si="30"/>
        <v>0.70833333333333348</v>
      </c>
      <c r="AU96" s="214" t="str">
        <f t="shared" si="30"/>
        <v>M</v>
      </c>
      <c r="AV96" s="214" t="str">
        <f t="shared" si="30"/>
        <v>M</v>
      </c>
      <c r="AW96" s="214">
        <f t="shared" si="30"/>
        <v>0.70833333333333348</v>
      </c>
      <c r="AX96" s="214" t="str">
        <f t="shared" si="30"/>
        <v>M</v>
      </c>
      <c r="AY96" s="215"/>
      <c r="AZ96" s="214">
        <f t="shared" si="31"/>
        <v>0</v>
      </c>
      <c r="BA96" s="214">
        <f t="shared" si="31"/>
        <v>0</v>
      </c>
      <c r="BB96" s="214">
        <f t="shared" si="31"/>
        <v>0</v>
      </c>
      <c r="BC96" s="214">
        <f t="shared" si="31"/>
        <v>0</v>
      </c>
      <c r="BD96" s="214">
        <f t="shared" si="31"/>
        <v>0</v>
      </c>
      <c r="BE96" s="214">
        <f t="shared" si="31"/>
        <v>0</v>
      </c>
      <c r="BF96" s="214">
        <f t="shared" si="31"/>
        <v>0</v>
      </c>
      <c r="BI96" s="217" t="str">
        <f>IF(OR(E96="",F96="",G96=""),"M",1)</f>
        <v>M</v>
      </c>
      <c r="BJ96" s="217" t="str">
        <f>IF(OR(H96="",I96="",J96=""),"M",1)</f>
        <v>M</v>
      </c>
      <c r="BK96" s="217" t="str">
        <f>IF(OR(K96="",L96="",M96=""),"M",1)</f>
        <v>M</v>
      </c>
      <c r="BL96" s="217" t="str">
        <f>IF(OR(N96="",O96="",P96=""),"M",1)</f>
        <v>M</v>
      </c>
      <c r="BM96" s="217" t="str">
        <f>IF(OR(Q96="",R96="",S96=""),"M",1)</f>
        <v>M</v>
      </c>
      <c r="BN96" s="217">
        <f>IF(AND(BI96="M",BJ96="M",BK96="M",BL96="M",BM96="M",D96=""),0,1)</f>
        <v>0</v>
      </c>
      <c r="BO96" s="216"/>
      <c r="BP96" s="216"/>
      <c r="BQ96" s="218"/>
    </row>
    <row r="97" spans="1:71" ht="17.25" customHeight="1">
      <c r="A97" s="296">
        <v>-2</v>
      </c>
      <c r="B97" s="297">
        <f>B98-1</f>
        <v>45923</v>
      </c>
      <c r="C97" s="298">
        <f>C98-1</f>
        <v>45923</v>
      </c>
      <c r="D97" s="241"/>
      <c r="E97" s="46"/>
      <c r="F97" s="47"/>
      <c r="G97" s="48"/>
      <c r="H97" s="46"/>
      <c r="I97" s="47"/>
      <c r="J97" s="48"/>
      <c r="K97" s="46"/>
      <c r="L97" s="47"/>
      <c r="M97" s="48"/>
      <c r="N97" s="46"/>
      <c r="O97" s="47"/>
      <c r="P97" s="48"/>
      <c r="Q97" s="46"/>
      <c r="R97" s="47"/>
      <c r="S97" s="94"/>
      <c r="T97" s="92" t="str">
        <f>IF(BN97=0,"M",IF(D97="p1",AL97,IF(D97="p2",AM97,IF(D97="A",0,((E97*F97)*G97/0.6)+((H97*I97)*J97/0.6)+((K97*L97)*M97/0.6)+((N97*O97)*P97/0.6)+((Q97*R97)*S97/0.6)))))</f>
        <v>M</v>
      </c>
      <c r="U97" s="264" t="str">
        <f t="shared" ref="U97:U98" si="32">IF(T97="M", "M", IF(T97&gt;40, "YES", "NO"))</f>
        <v>M</v>
      </c>
      <c r="V97" s="91"/>
      <c r="W97" s="127"/>
      <c r="X97" s="208">
        <f t="shared" si="2"/>
        <v>0</v>
      </c>
      <c r="Y97" s="209"/>
      <c r="Z97" s="209">
        <f t="shared" si="26"/>
        <v>0</v>
      </c>
      <c r="AA97" s="209">
        <f t="shared" si="27"/>
        <v>1</v>
      </c>
      <c r="AB97" s="209"/>
      <c r="AC97" s="257"/>
      <c r="AD97" s="261"/>
      <c r="AE97" s="234"/>
      <c r="AF97" s="234"/>
      <c r="AG97" s="234"/>
      <c r="AH97" s="234"/>
      <c r="AI97" s="234"/>
      <c r="AL97" s="212" t="b">
        <f t="shared" ref="AL97:AL98" si="33">IF(AN97=1,AX97,IF(AN97=2,AR97,IF(AN97=3,AS97,IF(AN97=4,AT97,IF(AN97=5,AU97,IF(AN97=6,AV97,IF(AN97=7,AW97)))))))</f>
        <v>0</v>
      </c>
      <c r="AM97" s="212" t="b">
        <f t="shared" ref="AM97:AM98" si="34">IF(AO97=1,BF97,IF(AO97=2,AZ97,IF(AO97=3,BA97,IF(AO97=4,BB97,IF(AO97=5,BC97,IF(AO97=6,BD97,IF(AO97=7,BE97)))))))</f>
        <v>0</v>
      </c>
      <c r="AN97" s="212" t="str">
        <f>IF(D97="p1",AQ97,"no")</f>
        <v>no</v>
      </c>
      <c r="AO97" s="212" t="str">
        <f>IF(D97="p2",AQ97,"no")</f>
        <v>no</v>
      </c>
      <c r="AP97" s="213"/>
      <c r="AQ97" s="212">
        <f>WEEKDAY(C97)</f>
        <v>3</v>
      </c>
      <c r="AR97" s="214" t="str">
        <f t="shared" si="30"/>
        <v>M</v>
      </c>
      <c r="AS97" s="214" t="str">
        <f t="shared" si="30"/>
        <v>M</v>
      </c>
      <c r="AT97" s="214">
        <f t="shared" si="30"/>
        <v>0.70833333333333348</v>
      </c>
      <c r="AU97" s="214" t="str">
        <f t="shared" si="30"/>
        <v>M</v>
      </c>
      <c r="AV97" s="214" t="str">
        <f t="shared" si="30"/>
        <v>M</v>
      </c>
      <c r="AW97" s="214">
        <f t="shared" si="30"/>
        <v>0.70833333333333348</v>
      </c>
      <c r="AX97" s="214" t="str">
        <f t="shared" si="30"/>
        <v>M</v>
      </c>
      <c r="AY97" s="215"/>
      <c r="AZ97" s="214">
        <f t="shared" si="31"/>
        <v>0</v>
      </c>
      <c r="BA97" s="214">
        <f t="shared" si="31"/>
        <v>0</v>
      </c>
      <c r="BB97" s="214">
        <f t="shared" si="31"/>
        <v>0</v>
      </c>
      <c r="BC97" s="214">
        <f t="shared" si="31"/>
        <v>0</v>
      </c>
      <c r="BD97" s="214">
        <f t="shared" si="31"/>
        <v>0</v>
      </c>
      <c r="BE97" s="214">
        <f t="shared" si="31"/>
        <v>0</v>
      </c>
      <c r="BF97" s="214">
        <f t="shared" si="31"/>
        <v>0</v>
      </c>
      <c r="BI97" s="217" t="str">
        <f>IF(OR(E97="",F97="",G97=""),"M",1)</f>
        <v>M</v>
      </c>
      <c r="BJ97" s="217" t="str">
        <f>IF(OR(H97="",I97="",J97=""),"M",1)</f>
        <v>M</v>
      </c>
      <c r="BK97" s="217" t="str">
        <f>IF(OR(K97="",L97="",M97=""),"M",1)</f>
        <v>M</v>
      </c>
      <c r="BL97" s="217" t="str">
        <f>IF(OR(N97="",O97="",P97=""),"M",1)</f>
        <v>M</v>
      </c>
      <c r="BM97" s="217" t="str">
        <f>IF(OR(Q97="",R97="",S97=""),"M",1)</f>
        <v>M</v>
      </c>
      <c r="BN97" s="217">
        <f>IF(AND(BI97="M",BJ97="M",BK97="M",BL97="M",BM97="M",D97=""),0,1)</f>
        <v>0</v>
      </c>
      <c r="BO97" s="216"/>
      <c r="BP97" s="216"/>
      <c r="BQ97" s="218"/>
    </row>
    <row r="98" spans="1:71" ht="17.25" customHeight="1">
      <c r="A98" s="296">
        <v>-1</v>
      </c>
      <c r="B98" s="297">
        <f>O4-1</f>
        <v>45924</v>
      </c>
      <c r="C98" s="298">
        <f>O4-1</f>
        <v>45924</v>
      </c>
      <c r="D98" s="242"/>
      <c r="E98" s="46"/>
      <c r="F98" s="47"/>
      <c r="G98" s="48"/>
      <c r="H98" s="46"/>
      <c r="I98" s="47"/>
      <c r="J98" s="48"/>
      <c r="K98" s="46"/>
      <c r="L98" s="47"/>
      <c r="M98" s="48"/>
      <c r="N98" s="46"/>
      <c r="O98" s="47"/>
      <c r="P98" s="48"/>
      <c r="Q98" s="46"/>
      <c r="R98" s="47"/>
      <c r="S98" s="94"/>
      <c r="T98" s="92" t="str">
        <f>IF(BN98=0,"M",IF(D98="p1",AL98,IF(D98="p2",AM98,IF(D98="A",0,((E98*F98)*G98/0.6)+((H98*I98)*J98/0.6)+((K98*L98)*M98/0.6)+((N98*O98)*P98/0.6)+((Q98*R98)*S98/0.6)))))</f>
        <v>M</v>
      </c>
      <c r="U98" s="264" t="str">
        <f t="shared" si="32"/>
        <v>M</v>
      </c>
      <c r="V98" s="91"/>
      <c r="W98" s="127"/>
      <c r="X98" s="208">
        <f t="shared" si="2"/>
        <v>0</v>
      </c>
      <c r="Y98" s="209"/>
      <c r="Z98" s="209">
        <f t="shared" si="26"/>
        <v>0</v>
      </c>
      <c r="AA98" s="209">
        <f t="shared" si="27"/>
        <v>1</v>
      </c>
      <c r="AB98" s="209">
        <f>SUM(AA64:AA98)</f>
        <v>35</v>
      </c>
      <c r="AC98" s="257"/>
      <c r="AD98" s="261"/>
      <c r="AE98" s="234"/>
      <c r="AF98" s="234"/>
      <c r="AG98" s="234"/>
      <c r="AH98" s="234"/>
      <c r="AI98" s="234"/>
      <c r="AL98" s="212" t="b">
        <f t="shared" si="33"/>
        <v>0</v>
      </c>
      <c r="AM98" s="212" t="b">
        <f t="shared" si="34"/>
        <v>0</v>
      </c>
      <c r="AN98" s="212" t="str">
        <f>IF(D98="p1",AQ98,"no")</f>
        <v>no</v>
      </c>
      <c r="AO98" s="212" t="str">
        <f>IF(D98="p2",AQ98,"no")</f>
        <v>no</v>
      </c>
      <c r="AP98" s="213"/>
      <c r="AQ98" s="212">
        <f>WEEKDAY(C98)</f>
        <v>4</v>
      </c>
      <c r="AR98" s="214" t="str">
        <f t="shared" si="30"/>
        <v>M</v>
      </c>
      <c r="AS98" s="214" t="str">
        <f t="shared" si="30"/>
        <v>M</v>
      </c>
      <c r="AT98" s="214">
        <f t="shared" si="30"/>
        <v>0.70833333333333348</v>
      </c>
      <c r="AU98" s="214" t="str">
        <f t="shared" si="30"/>
        <v>M</v>
      </c>
      <c r="AV98" s="214" t="str">
        <f t="shared" si="30"/>
        <v>M</v>
      </c>
      <c r="AW98" s="214">
        <f t="shared" si="30"/>
        <v>0.70833333333333348</v>
      </c>
      <c r="AX98" s="214" t="str">
        <f t="shared" si="30"/>
        <v>M</v>
      </c>
      <c r="AY98" s="215"/>
      <c r="AZ98" s="214">
        <f t="shared" si="31"/>
        <v>0</v>
      </c>
      <c r="BA98" s="214">
        <f t="shared" si="31"/>
        <v>0</v>
      </c>
      <c r="BB98" s="214">
        <f t="shared" si="31"/>
        <v>0</v>
      </c>
      <c r="BC98" s="214">
        <f t="shared" si="31"/>
        <v>0</v>
      </c>
      <c r="BD98" s="214">
        <f t="shared" si="31"/>
        <v>0</v>
      </c>
      <c r="BE98" s="214">
        <f t="shared" si="31"/>
        <v>0</v>
      </c>
      <c r="BF98" s="214">
        <f t="shared" si="31"/>
        <v>0</v>
      </c>
      <c r="BI98" s="217" t="str">
        <f>IF(OR(E98="",F98="",G98=""),"M",1)</f>
        <v>M</v>
      </c>
      <c r="BJ98" s="217" t="str">
        <f>IF(OR(H98="",I98="",J98=""),"M",1)</f>
        <v>M</v>
      </c>
      <c r="BK98" s="217" t="str">
        <f>IF(OR(K98="",L98="",M98=""),"M",1)</f>
        <v>M</v>
      </c>
      <c r="BL98" s="217" t="str">
        <f>IF(OR(N98="",O98="",P98=""),"M",1)</f>
        <v>M</v>
      </c>
      <c r="BM98" s="217" t="str">
        <f>IF(OR(Q98="",R98="",S98=""),"M",1)</f>
        <v>M</v>
      </c>
      <c r="BN98" s="217">
        <f>IF(AND(BI98="M",BJ98="M",BK98="M",BL98="M",BM98="M",D98=""),0,1)</f>
        <v>0</v>
      </c>
      <c r="BO98" s="216"/>
      <c r="BP98" s="216"/>
      <c r="BQ98" s="218"/>
    </row>
    <row r="99" spans="1:71" ht="17.25" customHeight="1">
      <c r="A99" s="299" t="s">
        <v>65</v>
      </c>
      <c r="B99" s="300">
        <f>O4</f>
        <v>45925</v>
      </c>
      <c r="C99" s="301">
        <f>O4</f>
        <v>45925</v>
      </c>
      <c r="D99" s="72"/>
      <c r="E99" s="73"/>
      <c r="F99" s="73"/>
      <c r="G99" s="73"/>
      <c r="H99" s="73"/>
      <c r="I99" s="73"/>
      <c r="J99" s="73"/>
      <c r="K99" s="73"/>
      <c r="L99" s="73"/>
      <c r="M99" s="73"/>
      <c r="N99" s="73"/>
      <c r="O99" s="73"/>
      <c r="P99" s="73"/>
      <c r="Q99" s="73"/>
      <c r="R99" s="73"/>
      <c r="S99" s="73"/>
      <c r="T99" s="167"/>
      <c r="U99" s="128"/>
      <c r="V99" s="129"/>
      <c r="W99" s="127"/>
      <c r="X99" s="219"/>
      <c r="Y99" s="219"/>
      <c r="Z99" s="223"/>
      <c r="AA99" s="223"/>
      <c r="AB99" s="223"/>
      <c r="AC99" s="244"/>
      <c r="AD99" s="245"/>
      <c r="AE99" s="246"/>
      <c r="AF99" s="234"/>
      <c r="AG99" s="234"/>
      <c r="AH99" s="243"/>
      <c r="AI99" s="234"/>
      <c r="AL99" s="224" t="b">
        <f t="shared" si="22"/>
        <v>0</v>
      </c>
      <c r="AM99" s="224" t="b">
        <f t="shared" si="4"/>
        <v>0</v>
      </c>
      <c r="AN99" s="224" t="str">
        <f>IF(D99="p1",AQ99,"no")</f>
        <v>no</v>
      </c>
      <c r="AO99" s="224" t="str">
        <f>IF(D99="p2",AQ99,"no")</f>
        <v>no</v>
      </c>
      <c r="AP99" s="225"/>
      <c r="AQ99" s="224">
        <f>WEEKDAY(C99)</f>
        <v>5</v>
      </c>
      <c r="AR99" s="226" t="e">
        <f>#REF!</f>
        <v>#REF!</v>
      </c>
      <c r="AS99" s="226" t="e">
        <f>#REF!</f>
        <v>#REF!</v>
      </c>
      <c r="AT99" s="226" t="e">
        <f>#REF!</f>
        <v>#REF!</v>
      </c>
      <c r="AU99" s="226" t="e">
        <f>#REF!</f>
        <v>#REF!</v>
      </c>
      <c r="AV99" s="226" t="e">
        <f>#REF!</f>
        <v>#REF!</v>
      </c>
      <c r="AW99" s="226" t="e">
        <f>#REF!</f>
        <v>#REF!</v>
      </c>
      <c r="AX99" s="226" t="e">
        <f>#REF!</f>
        <v>#REF!</v>
      </c>
      <c r="AY99" s="227"/>
      <c r="AZ99" s="226" t="e">
        <f>#REF!</f>
        <v>#REF!</v>
      </c>
      <c r="BA99" s="226" t="e">
        <f>#REF!</f>
        <v>#REF!</v>
      </c>
      <c r="BB99" s="226" t="e">
        <f>#REF!</f>
        <v>#REF!</v>
      </c>
      <c r="BC99" s="226" t="e">
        <f>#REF!</f>
        <v>#REF!</v>
      </c>
      <c r="BD99" s="226" t="e">
        <f>#REF!</f>
        <v>#REF!</v>
      </c>
      <c r="BE99" s="226" t="e">
        <f>#REF!</f>
        <v>#REF!</v>
      </c>
      <c r="BF99" s="226" t="e">
        <f>#REF!</f>
        <v>#REF!</v>
      </c>
      <c r="BQ99" s="228"/>
    </row>
    <row r="100" spans="1:71" ht="17.25" customHeight="1" thickBot="1">
      <c r="A100" s="130"/>
      <c r="B100" s="131"/>
      <c r="C100" s="132"/>
      <c r="D100" s="133"/>
      <c r="E100" s="134"/>
      <c r="F100" s="135"/>
      <c r="G100" s="133"/>
      <c r="H100" s="136"/>
      <c r="I100" s="137"/>
      <c r="J100" s="138"/>
      <c r="K100" s="136"/>
      <c r="L100" s="137"/>
      <c r="M100" s="138"/>
      <c r="N100" s="136"/>
      <c r="O100" s="137"/>
      <c r="P100" s="138"/>
      <c r="Q100" s="136"/>
      <c r="R100" s="137"/>
      <c r="S100" s="139"/>
      <c r="T100" s="168"/>
      <c r="U100" s="140"/>
      <c r="V100" s="141"/>
      <c r="W100" s="127"/>
      <c r="X100" s="219"/>
      <c r="Y100" s="219"/>
      <c r="Z100" s="223"/>
      <c r="AA100" s="223"/>
      <c r="AB100" s="223"/>
      <c r="AC100" s="244"/>
      <c r="AD100" s="245"/>
      <c r="AE100" s="234"/>
      <c r="AF100" s="234"/>
      <c r="AG100" s="234"/>
      <c r="AH100" s="229" t="s">
        <v>66</v>
      </c>
      <c r="AI100" s="230"/>
      <c r="AL100" s="221"/>
      <c r="AM100" s="221"/>
      <c r="AN100" s="221"/>
      <c r="AO100" s="221"/>
      <c r="AP100" s="221"/>
      <c r="AQ100" s="221"/>
      <c r="AR100" s="178"/>
      <c r="AY100" s="177"/>
      <c r="AZ100" s="178"/>
      <c r="BA100" s="178"/>
      <c r="BB100" s="178"/>
      <c r="BC100" s="178"/>
      <c r="BD100" s="178"/>
      <c r="BE100" s="178"/>
      <c r="BF100" s="178"/>
      <c r="BQ100" s="228"/>
    </row>
    <row r="101" spans="1:71" ht="17.25" customHeight="1">
      <c r="A101" s="313"/>
      <c r="B101" s="313"/>
      <c r="C101" s="313"/>
      <c r="D101" s="313"/>
      <c r="E101" s="313"/>
      <c r="F101" s="313"/>
      <c r="G101" s="313"/>
      <c r="H101" s="313"/>
      <c r="I101" s="313"/>
      <c r="J101" s="313"/>
      <c r="S101" s="127"/>
      <c r="T101" s="30"/>
      <c r="U101" s="59"/>
      <c r="V101" s="127"/>
      <c r="W101" s="127"/>
      <c r="X101" s="219"/>
      <c r="Y101" s="219"/>
      <c r="Z101" s="223"/>
      <c r="AA101" s="223"/>
      <c r="AB101" s="223"/>
      <c r="AC101" s="244"/>
      <c r="AD101" s="245"/>
      <c r="AE101" s="245"/>
      <c r="AF101" s="245"/>
      <c r="AG101" s="231"/>
      <c r="AH101" s="232" t="s">
        <v>67</v>
      </c>
      <c r="AI101" s="233" t="s">
        <v>68</v>
      </c>
      <c r="AN101" s="221"/>
      <c r="AO101" s="221"/>
      <c r="AP101" s="221"/>
      <c r="AQ101" s="221"/>
      <c r="AR101" s="221"/>
      <c r="AS101" s="221"/>
      <c r="AZ101" s="178"/>
      <c r="BB101" s="178"/>
      <c r="BC101" s="178"/>
      <c r="BD101" s="178"/>
      <c r="BE101" s="178"/>
      <c r="BF101" s="178"/>
      <c r="BG101" s="178"/>
      <c r="BH101" s="178"/>
      <c r="BS101" s="228"/>
    </row>
    <row r="102" spans="1:71" s="110" customFormat="1" ht="17.25" customHeight="1">
      <c r="A102" s="111"/>
      <c r="B102" s="248"/>
      <c r="C102" s="112"/>
      <c r="D102" s="113"/>
      <c r="E102" s="239"/>
      <c r="F102" s="239"/>
      <c r="G102" s="239"/>
      <c r="H102" s="113"/>
      <c r="I102" s="113"/>
      <c r="J102" s="113"/>
      <c r="K102" s="113"/>
      <c r="L102" s="113"/>
      <c r="M102" s="239"/>
      <c r="N102" s="239"/>
      <c r="O102" s="239"/>
      <c r="P102" s="239"/>
      <c r="Q102" s="239"/>
      <c r="R102" s="239"/>
      <c r="S102" s="239"/>
      <c r="T102" s="169"/>
      <c r="U102" s="113"/>
      <c r="V102" s="169"/>
      <c r="W102" s="169"/>
      <c r="X102" s="169"/>
      <c r="Y102" s="169"/>
      <c r="Z102" s="169"/>
      <c r="AA102" s="169"/>
      <c r="AB102" s="169"/>
      <c r="AC102" s="169"/>
      <c r="AD102" s="169"/>
      <c r="AE102" s="169"/>
      <c r="AF102" s="169"/>
      <c r="AG102" s="169"/>
      <c r="AH102" s="169"/>
      <c r="AI102" s="169"/>
      <c r="AT102" s="114"/>
      <c r="AU102" s="114"/>
      <c r="AV102" s="114"/>
      <c r="AW102" s="114"/>
      <c r="AX102" s="114"/>
      <c r="AY102" s="114"/>
      <c r="AZ102" s="114"/>
    </row>
    <row r="103" spans="1:71" s="110" customFormat="1" ht="17.25" customHeight="1">
      <c r="A103" s="111"/>
      <c r="B103" s="248"/>
      <c r="C103" s="112"/>
      <c r="D103" s="113"/>
      <c r="E103" s="239"/>
      <c r="F103" s="239"/>
      <c r="G103" s="239"/>
      <c r="H103" s="113"/>
      <c r="I103" s="113"/>
      <c r="J103" s="113"/>
      <c r="K103" s="113"/>
      <c r="L103" s="113"/>
      <c r="M103" s="239"/>
      <c r="N103" s="239"/>
      <c r="O103" s="239"/>
      <c r="P103" s="239"/>
      <c r="Q103" s="239"/>
      <c r="R103" s="239"/>
      <c r="S103" s="239"/>
      <c r="T103" s="169"/>
      <c r="U103" s="113"/>
      <c r="V103" s="169"/>
      <c r="W103" s="169"/>
      <c r="X103" s="169"/>
      <c r="Y103" s="169"/>
      <c r="Z103" s="169"/>
      <c r="AA103" s="169"/>
      <c r="AB103" s="169"/>
      <c r="AC103" s="169"/>
      <c r="AD103" s="169"/>
      <c r="AE103" s="169"/>
      <c r="AF103" s="169"/>
      <c r="AG103" s="169"/>
      <c r="AH103" s="169"/>
      <c r="AI103" s="169"/>
      <c r="AT103" s="114"/>
      <c r="AU103" s="114"/>
      <c r="AV103" s="114"/>
      <c r="AW103" s="114"/>
      <c r="AX103" s="114"/>
      <c r="AY103" s="114"/>
      <c r="AZ103" s="114"/>
    </row>
    <row r="104" spans="1:71" s="110" customFormat="1" ht="17.25" customHeight="1">
      <c r="A104" s="111"/>
      <c r="B104" s="248"/>
      <c r="C104" s="112"/>
      <c r="D104" s="113"/>
      <c r="E104" s="239"/>
      <c r="F104" s="239"/>
      <c r="G104" s="239"/>
      <c r="H104" s="113"/>
      <c r="I104" s="113"/>
      <c r="J104" s="113"/>
      <c r="K104" s="113"/>
      <c r="L104" s="113"/>
      <c r="M104" s="239"/>
      <c r="N104" s="239"/>
      <c r="O104" s="239"/>
      <c r="P104" s="239"/>
      <c r="Q104" s="239"/>
      <c r="R104" s="239"/>
      <c r="S104" s="239"/>
      <c r="T104" s="169">
        <f>SUM(T9:T98)</f>
        <v>0</v>
      </c>
      <c r="U104" s="113"/>
      <c r="V104" s="169"/>
      <c r="W104" s="169"/>
      <c r="X104" s="169">
        <f>SUM(X9:X98)</f>
        <v>0</v>
      </c>
      <c r="Y104" s="169"/>
      <c r="Z104" s="169"/>
      <c r="AA104" s="169"/>
      <c r="AB104" s="169"/>
      <c r="AC104" s="169"/>
      <c r="AD104" s="169"/>
      <c r="AE104" s="169"/>
      <c r="AF104" s="169"/>
      <c r="AG104" s="169"/>
      <c r="AH104" s="169"/>
      <c r="AI104" s="169"/>
      <c r="AT104" s="114"/>
      <c r="AU104" s="114"/>
      <c r="AV104" s="114"/>
      <c r="AW104" s="114"/>
      <c r="AX104" s="114"/>
      <c r="AY104" s="114"/>
      <c r="AZ104" s="114"/>
    </row>
    <row r="105" spans="1:71" s="110" customFormat="1" ht="17.25" customHeight="1">
      <c r="A105" s="111"/>
      <c r="B105" s="248"/>
      <c r="C105" s="249"/>
      <c r="D105" s="113"/>
      <c r="E105" s="239"/>
      <c r="F105" s="239"/>
      <c r="G105" s="239"/>
      <c r="H105" s="113"/>
      <c r="I105" s="113"/>
      <c r="J105" s="113"/>
      <c r="K105" s="113"/>
      <c r="L105" s="113"/>
      <c r="M105" s="239"/>
      <c r="N105" s="239"/>
      <c r="O105" s="239"/>
      <c r="P105" s="239"/>
      <c r="Q105" s="239"/>
      <c r="R105" s="239"/>
      <c r="S105" s="239"/>
      <c r="T105" s="169"/>
      <c r="U105" s="113"/>
      <c r="V105" s="169"/>
      <c r="W105" s="169"/>
      <c r="X105" s="169"/>
      <c r="Y105" s="169"/>
      <c r="Z105" s="169"/>
      <c r="AA105" s="169"/>
      <c r="AB105" s="169"/>
      <c r="AC105" s="169"/>
      <c r="AD105" s="169"/>
      <c r="AE105" s="169"/>
      <c r="AF105" s="169"/>
      <c r="AG105" s="169"/>
      <c r="AH105" s="169"/>
      <c r="AI105" s="169"/>
      <c r="AT105" s="114"/>
      <c r="AU105" s="114"/>
      <c r="AV105" s="114"/>
      <c r="AW105" s="114"/>
      <c r="AX105" s="114"/>
      <c r="AY105" s="114"/>
      <c r="AZ105" s="114"/>
    </row>
    <row r="106" spans="1:71" s="110" customFormat="1" ht="17.25" customHeight="1">
      <c r="A106" s="111"/>
      <c r="B106" s="248"/>
      <c r="C106" s="112"/>
      <c r="D106" s="113"/>
      <c r="E106" s="239"/>
      <c r="F106" s="239"/>
      <c r="G106" s="239"/>
      <c r="H106" s="113"/>
      <c r="I106" s="113"/>
      <c r="J106" s="113"/>
      <c r="K106" s="113"/>
      <c r="L106" s="113"/>
      <c r="M106" s="239"/>
      <c r="N106" s="239"/>
      <c r="O106" s="239"/>
      <c r="P106" s="239"/>
      <c r="Q106" s="239"/>
      <c r="R106" s="239"/>
      <c r="S106" s="239"/>
      <c r="T106" s="169"/>
      <c r="U106" s="113"/>
      <c r="V106" s="169"/>
      <c r="W106" s="169"/>
      <c r="X106" s="169"/>
      <c r="Y106" s="169"/>
      <c r="Z106" s="169"/>
      <c r="AA106" s="169"/>
      <c r="AB106" s="169"/>
      <c r="AC106" s="169"/>
      <c r="AD106" s="169"/>
      <c r="AE106" s="169"/>
      <c r="AF106" s="169"/>
      <c r="AG106" s="169"/>
      <c r="AH106" s="169"/>
      <c r="AI106" s="169"/>
      <c r="AT106" s="114"/>
      <c r="AU106" s="114"/>
      <c r="AV106" s="114"/>
      <c r="AW106" s="114"/>
      <c r="AX106" s="114"/>
      <c r="AY106" s="114"/>
      <c r="AZ106" s="114"/>
    </row>
    <row r="107" spans="1:71" s="110" customFormat="1" ht="17.25" customHeight="1">
      <c r="A107" s="111"/>
      <c r="B107" s="248"/>
      <c r="C107" s="112"/>
      <c r="D107" s="113"/>
      <c r="E107" s="239"/>
      <c r="F107" s="239"/>
      <c r="G107" s="239"/>
      <c r="H107" s="113"/>
      <c r="I107" s="113"/>
      <c r="J107" s="113"/>
      <c r="K107" s="113"/>
      <c r="L107" s="113"/>
      <c r="M107" s="239"/>
      <c r="N107" s="239"/>
      <c r="O107" s="239"/>
      <c r="P107" s="239"/>
      <c r="Q107" s="239"/>
      <c r="R107" s="239"/>
      <c r="S107" s="239"/>
      <c r="T107" s="169"/>
      <c r="U107" s="113"/>
      <c r="V107" s="169"/>
      <c r="W107" s="169"/>
      <c r="X107" s="169"/>
      <c r="Y107" s="169"/>
      <c r="Z107" s="169"/>
      <c r="AA107" s="169"/>
      <c r="AB107" s="169"/>
      <c r="AC107" s="169"/>
      <c r="AD107" s="169"/>
      <c r="AE107" s="169"/>
      <c r="AF107" s="169"/>
      <c r="AG107" s="169"/>
      <c r="AH107" s="169"/>
      <c r="AI107" s="169"/>
      <c r="AT107" s="114"/>
      <c r="AU107" s="114"/>
      <c r="AV107" s="114"/>
      <c r="AW107" s="114"/>
      <c r="AX107" s="114"/>
      <c r="AY107" s="114"/>
      <c r="AZ107" s="114"/>
    </row>
    <row r="108" spans="1:71" s="110" customFormat="1" ht="17.25" customHeight="1">
      <c r="A108" s="111"/>
      <c r="B108" s="248"/>
      <c r="C108" s="112"/>
      <c r="D108" s="113"/>
      <c r="E108" s="239"/>
      <c r="F108" s="239"/>
      <c r="G108" s="239"/>
      <c r="H108" s="113"/>
      <c r="I108" s="113"/>
      <c r="J108" s="113"/>
      <c r="K108" s="113"/>
      <c r="L108" s="113"/>
      <c r="M108" s="239"/>
      <c r="N108" s="239"/>
      <c r="O108" s="239"/>
      <c r="P108" s="239"/>
      <c r="Q108" s="239"/>
      <c r="R108" s="239"/>
      <c r="S108" s="239"/>
      <c r="T108" s="169"/>
      <c r="U108" s="113"/>
      <c r="V108" s="169"/>
      <c r="W108" s="169"/>
      <c r="X108" s="169"/>
      <c r="Y108" s="169"/>
      <c r="Z108" s="169"/>
      <c r="AA108" s="169"/>
      <c r="AB108" s="169"/>
      <c r="AC108" s="169"/>
      <c r="AD108" s="169"/>
      <c r="AE108" s="169"/>
      <c r="AF108" s="169"/>
      <c r="AG108" s="169"/>
      <c r="AH108" s="169"/>
      <c r="AI108" s="169"/>
      <c r="AT108" s="114"/>
      <c r="AU108" s="114"/>
      <c r="AV108" s="114"/>
      <c r="AW108" s="114"/>
      <c r="AX108" s="114"/>
      <c r="AY108" s="114"/>
      <c r="AZ108" s="114"/>
    </row>
    <row r="109" spans="1:71" s="110" customFormat="1" ht="17.25" customHeight="1">
      <c r="A109" s="111"/>
      <c r="B109" s="248"/>
      <c r="C109" s="112"/>
      <c r="D109" s="113"/>
      <c r="E109" s="239"/>
      <c r="F109" s="239"/>
      <c r="G109" s="239"/>
      <c r="H109" s="113"/>
      <c r="I109" s="113"/>
      <c r="J109" s="113"/>
      <c r="K109" s="113"/>
      <c r="L109" s="113"/>
      <c r="M109" s="239"/>
      <c r="N109" s="239"/>
      <c r="O109" s="239"/>
      <c r="P109" s="239"/>
      <c r="Q109" s="239"/>
      <c r="R109" s="239"/>
      <c r="S109" s="239"/>
      <c r="T109" s="169"/>
      <c r="U109" s="113"/>
      <c r="V109" s="169"/>
      <c r="W109" s="169"/>
      <c r="X109" s="169"/>
      <c r="Y109" s="169"/>
      <c r="Z109" s="169"/>
      <c r="AA109" s="169"/>
      <c r="AB109" s="169"/>
      <c r="AC109" s="169"/>
      <c r="AD109" s="169"/>
      <c r="AE109" s="169"/>
      <c r="AF109" s="169"/>
      <c r="AG109" s="169"/>
      <c r="AH109" s="169"/>
      <c r="AI109" s="169"/>
      <c r="AT109" s="114"/>
      <c r="AU109" s="114"/>
      <c r="AV109" s="114"/>
      <c r="AW109" s="114"/>
      <c r="AX109" s="114"/>
      <c r="AY109" s="114"/>
      <c r="AZ109" s="114"/>
    </row>
    <row r="110" spans="1:71" s="110" customFormat="1" ht="17.25" customHeight="1">
      <c r="A110" s="111"/>
      <c r="B110" s="248"/>
      <c r="C110" s="112"/>
      <c r="D110" s="113"/>
      <c r="E110" s="239"/>
      <c r="F110" s="239"/>
      <c r="G110" s="239"/>
      <c r="H110" s="113"/>
      <c r="I110" s="113"/>
      <c r="J110" s="113"/>
      <c r="K110" s="113"/>
      <c r="L110" s="113"/>
      <c r="M110" s="239"/>
      <c r="N110" s="239"/>
      <c r="O110" s="239"/>
      <c r="P110" s="239"/>
      <c r="Q110" s="239"/>
      <c r="R110" s="239"/>
      <c r="S110" s="239"/>
      <c r="T110" s="169"/>
      <c r="U110" s="113"/>
      <c r="V110" s="169"/>
      <c r="W110" s="169"/>
      <c r="X110" s="169"/>
      <c r="Y110" s="169"/>
      <c r="Z110" s="169"/>
      <c r="AA110" s="169"/>
      <c r="AB110" s="169"/>
      <c r="AC110" s="169"/>
      <c r="AD110" s="169"/>
      <c r="AE110" s="169"/>
      <c r="AF110" s="169"/>
      <c r="AG110" s="169"/>
      <c r="AH110" s="169"/>
      <c r="AI110" s="169"/>
      <c r="AT110" s="114"/>
      <c r="AU110" s="114"/>
      <c r="AV110" s="114"/>
      <c r="AW110" s="114"/>
      <c r="AX110" s="114"/>
      <c r="AY110" s="114"/>
      <c r="AZ110" s="114"/>
    </row>
    <row r="111" spans="1:71" s="110" customFormat="1" ht="17.25" customHeight="1">
      <c r="A111" s="111"/>
      <c r="B111" s="248"/>
      <c r="C111" s="112"/>
      <c r="D111" s="113"/>
      <c r="E111" s="239"/>
      <c r="F111" s="239"/>
      <c r="G111" s="239"/>
      <c r="H111" s="113"/>
      <c r="I111" s="113"/>
      <c r="J111" s="113"/>
      <c r="K111" s="113"/>
      <c r="L111" s="113"/>
      <c r="M111" s="239"/>
      <c r="N111" s="239"/>
      <c r="O111" s="239"/>
      <c r="P111" s="239"/>
      <c r="Q111" s="239"/>
      <c r="R111" s="239"/>
      <c r="S111" s="239"/>
      <c r="T111" s="169"/>
      <c r="U111" s="113"/>
      <c r="V111" s="169"/>
      <c r="W111" s="169"/>
      <c r="X111" s="169"/>
      <c r="Y111" s="169"/>
      <c r="Z111" s="169"/>
      <c r="AA111" s="169"/>
      <c r="AB111" s="169"/>
      <c r="AC111" s="169"/>
      <c r="AD111" s="169"/>
      <c r="AE111" s="169"/>
      <c r="AF111" s="169"/>
      <c r="AG111" s="169"/>
      <c r="AH111" s="169"/>
      <c r="AI111" s="169"/>
      <c r="AT111" s="114"/>
      <c r="AU111" s="114"/>
      <c r="AV111" s="114"/>
      <c r="AW111" s="114"/>
      <c r="AX111" s="114"/>
      <c r="AY111" s="114"/>
      <c r="AZ111" s="114"/>
    </row>
    <row r="112" spans="1:71" s="110" customFormat="1" ht="17.25" customHeight="1">
      <c r="A112" s="111"/>
      <c r="B112" s="248"/>
      <c r="C112" s="112"/>
      <c r="D112" s="113"/>
      <c r="E112" s="239"/>
      <c r="F112" s="239"/>
      <c r="G112" s="239"/>
      <c r="H112" s="113"/>
      <c r="I112" s="113"/>
      <c r="J112" s="113"/>
      <c r="K112" s="113"/>
      <c r="L112" s="113"/>
      <c r="M112" s="239"/>
      <c r="N112" s="239"/>
      <c r="O112" s="239"/>
      <c r="P112" s="239"/>
      <c r="Q112" s="239"/>
      <c r="R112" s="239"/>
      <c r="S112" s="239"/>
      <c r="T112" s="169"/>
      <c r="U112" s="113"/>
      <c r="V112" s="169"/>
      <c r="W112" s="169"/>
      <c r="X112" s="169"/>
      <c r="Y112" s="169"/>
      <c r="Z112" s="169"/>
      <c r="AA112" s="169"/>
      <c r="AB112" s="169"/>
      <c r="AC112" s="169"/>
      <c r="AD112" s="169"/>
      <c r="AE112" s="169"/>
      <c r="AF112" s="169"/>
      <c r="AG112" s="169"/>
      <c r="AH112" s="169"/>
      <c r="AI112" s="169"/>
      <c r="AT112" s="114"/>
      <c r="AU112" s="114"/>
      <c r="AV112" s="114"/>
      <c r="AW112" s="114"/>
      <c r="AX112" s="114"/>
      <c r="AY112" s="114"/>
      <c r="AZ112" s="114"/>
    </row>
    <row r="113" spans="1:52" s="110" customFormat="1" ht="17.25" customHeight="1">
      <c r="A113" s="111"/>
      <c r="B113" s="248"/>
      <c r="C113" s="112"/>
      <c r="D113" s="113"/>
      <c r="E113" s="239"/>
      <c r="F113" s="239"/>
      <c r="G113" s="239"/>
      <c r="H113" s="113"/>
      <c r="I113" s="113"/>
      <c r="J113" s="113"/>
      <c r="K113" s="113"/>
      <c r="L113" s="113"/>
      <c r="M113" s="239"/>
      <c r="N113" s="239"/>
      <c r="O113" s="239"/>
      <c r="P113" s="239"/>
      <c r="Q113" s="239"/>
      <c r="R113" s="239"/>
      <c r="S113" s="239"/>
      <c r="T113" s="169"/>
      <c r="U113" s="113"/>
      <c r="V113" s="169"/>
      <c r="W113" s="169"/>
      <c r="X113" s="169"/>
      <c r="Y113" s="169"/>
      <c r="Z113" s="169"/>
      <c r="AA113" s="169"/>
      <c r="AB113" s="169"/>
      <c r="AC113" s="169"/>
      <c r="AD113" s="169"/>
      <c r="AE113" s="169"/>
      <c r="AF113" s="169"/>
      <c r="AG113" s="169"/>
      <c r="AH113" s="169"/>
      <c r="AI113" s="169"/>
      <c r="AT113" s="114"/>
      <c r="AU113" s="114"/>
      <c r="AV113" s="114"/>
      <c r="AW113" s="114"/>
      <c r="AX113" s="114"/>
      <c r="AY113" s="114"/>
      <c r="AZ113" s="114"/>
    </row>
    <row r="114" spans="1:52" s="110" customFormat="1" ht="17.25" customHeight="1">
      <c r="A114" s="111"/>
      <c r="B114" s="248"/>
      <c r="C114" s="112"/>
      <c r="D114" s="113"/>
      <c r="E114" s="239"/>
      <c r="F114" s="239"/>
      <c r="G114" s="239"/>
      <c r="H114" s="113"/>
      <c r="I114" s="113"/>
      <c r="J114" s="113"/>
      <c r="K114" s="113"/>
      <c r="L114" s="113"/>
      <c r="M114" s="239"/>
      <c r="N114" s="239"/>
      <c r="O114" s="239"/>
      <c r="P114" s="239"/>
      <c r="Q114" s="239"/>
      <c r="R114" s="239"/>
      <c r="S114" s="239"/>
      <c r="T114" s="169"/>
      <c r="U114" s="113"/>
      <c r="V114" s="169"/>
      <c r="W114" s="169"/>
      <c r="X114" s="169"/>
      <c r="Y114" s="169"/>
      <c r="Z114" s="169"/>
      <c r="AA114" s="169"/>
      <c r="AB114" s="169"/>
      <c r="AC114" s="169"/>
      <c r="AD114" s="169"/>
      <c r="AE114" s="169"/>
      <c r="AF114" s="169"/>
      <c r="AG114" s="169"/>
      <c r="AH114" s="169"/>
      <c r="AI114" s="169"/>
      <c r="AT114" s="114"/>
      <c r="AU114" s="114"/>
      <c r="AV114" s="114"/>
      <c r="AW114" s="114"/>
      <c r="AX114" s="114"/>
      <c r="AY114" s="114"/>
      <c r="AZ114" s="114"/>
    </row>
    <row r="115" spans="1:52" s="110" customFormat="1" ht="17.25" customHeight="1">
      <c r="A115" s="111"/>
      <c r="B115" s="248"/>
      <c r="C115" s="112"/>
      <c r="D115" s="113"/>
      <c r="E115" s="239"/>
      <c r="F115" s="239"/>
      <c r="G115" s="239"/>
      <c r="H115" s="113"/>
      <c r="I115" s="113"/>
      <c r="J115" s="113"/>
      <c r="K115" s="113"/>
      <c r="L115" s="113"/>
      <c r="M115" s="239"/>
      <c r="N115" s="239"/>
      <c r="O115" s="239"/>
      <c r="P115" s="239"/>
      <c r="Q115" s="239"/>
      <c r="R115" s="239"/>
      <c r="S115" s="239"/>
      <c r="T115" s="169"/>
      <c r="U115" s="113"/>
      <c r="V115" s="169"/>
      <c r="W115" s="169"/>
      <c r="X115" s="169"/>
      <c r="Y115" s="169"/>
      <c r="Z115" s="169"/>
      <c r="AA115" s="169"/>
      <c r="AB115" s="169"/>
      <c r="AC115" s="169"/>
      <c r="AD115" s="169"/>
      <c r="AE115" s="169"/>
      <c r="AF115" s="169"/>
      <c r="AG115" s="169"/>
      <c r="AH115" s="169"/>
      <c r="AI115" s="169"/>
      <c r="AT115" s="114"/>
      <c r="AU115" s="114"/>
      <c r="AV115" s="114"/>
      <c r="AW115" s="114"/>
      <c r="AX115" s="114"/>
      <c r="AY115" s="114"/>
      <c r="AZ115" s="114"/>
    </row>
    <row r="116" spans="1:52" s="110" customFormat="1" ht="17.25" customHeight="1">
      <c r="A116" s="111"/>
      <c r="B116" s="248"/>
      <c r="C116" s="112"/>
      <c r="D116" s="113"/>
      <c r="E116" s="239"/>
      <c r="F116" s="239"/>
      <c r="G116" s="239"/>
      <c r="H116" s="113"/>
      <c r="I116" s="113"/>
      <c r="J116" s="113"/>
      <c r="K116" s="113"/>
      <c r="L116" s="113"/>
      <c r="M116" s="239"/>
      <c r="N116" s="239"/>
      <c r="O116" s="239"/>
      <c r="P116" s="239"/>
      <c r="Q116" s="239"/>
      <c r="R116" s="239"/>
      <c r="S116" s="239"/>
      <c r="T116" s="169"/>
      <c r="U116" s="113"/>
      <c r="V116" s="169"/>
      <c r="W116" s="169"/>
      <c r="X116" s="169"/>
      <c r="Y116" s="169"/>
      <c r="Z116" s="169"/>
      <c r="AA116" s="169"/>
      <c r="AB116" s="169"/>
      <c r="AC116" s="169"/>
      <c r="AD116" s="169"/>
      <c r="AE116" s="169"/>
      <c r="AF116" s="169"/>
      <c r="AG116" s="169"/>
      <c r="AH116" s="169"/>
      <c r="AI116" s="169"/>
      <c r="AT116" s="114"/>
      <c r="AU116" s="114"/>
      <c r="AV116" s="114"/>
      <c r="AW116" s="114"/>
      <c r="AX116" s="114"/>
      <c r="AY116" s="114"/>
      <c r="AZ116" s="114"/>
    </row>
    <row r="117" spans="1:52" s="110" customFormat="1" ht="17.25" customHeight="1">
      <c r="A117" s="111"/>
      <c r="B117" s="248"/>
      <c r="C117" s="112"/>
      <c r="D117" s="113"/>
      <c r="E117" s="239"/>
      <c r="F117" s="239"/>
      <c r="G117" s="239"/>
      <c r="H117" s="113"/>
      <c r="I117" s="113"/>
      <c r="J117" s="113"/>
      <c r="K117" s="113"/>
      <c r="L117" s="113"/>
      <c r="M117" s="239"/>
      <c r="N117" s="239"/>
      <c r="O117" s="239"/>
      <c r="P117" s="239"/>
      <c r="Q117" s="239"/>
      <c r="R117" s="239"/>
      <c r="S117" s="239"/>
      <c r="T117" s="169"/>
      <c r="U117" s="113"/>
      <c r="V117" s="169"/>
      <c r="W117" s="169"/>
      <c r="X117" s="169"/>
      <c r="Y117" s="169"/>
      <c r="Z117" s="169"/>
      <c r="AA117" s="169"/>
      <c r="AB117" s="169"/>
      <c r="AC117" s="169"/>
      <c r="AD117" s="169"/>
      <c r="AE117" s="169"/>
      <c r="AF117" s="169"/>
      <c r="AG117" s="169"/>
      <c r="AH117" s="169"/>
      <c r="AI117" s="169"/>
      <c r="AT117" s="114"/>
      <c r="AU117" s="114"/>
      <c r="AV117" s="114"/>
      <c r="AW117" s="114"/>
      <c r="AX117" s="114"/>
      <c r="AY117" s="114"/>
      <c r="AZ117" s="114"/>
    </row>
    <row r="118" spans="1:52" s="110" customFormat="1" ht="17.25" customHeight="1">
      <c r="A118" s="111"/>
      <c r="B118" s="248"/>
      <c r="C118" s="112"/>
      <c r="D118" s="113"/>
      <c r="E118" s="239"/>
      <c r="F118" s="239"/>
      <c r="G118" s="239"/>
      <c r="H118" s="113"/>
      <c r="I118" s="113"/>
      <c r="J118" s="113"/>
      <c r="K118" s="113"/>
      <c r="L118" s="113"/>
      <c r="M118" s="239"/>
      <c r="N118" s="239"/>
      <c r="O118" s="239"/>
      <c r="P118" s="239"/>
      <c r="Q118" s="239"/>
      <c r="R118" s="239"/>
      <c r="S118" s="239"/>
      <c r="T118" s="169"/>
      <c r="U118" s="113"/>
      <c r="V118" s="169"/>
      <c r="W118" s="169"/>
      <c r="X118" s="169"/>
      <c r="Y118" s="169"/>
      <c r="Z118" s="169"/>
      <c r="AA118" s="169"/>
      <c r="AB118" s="169"/>
      <c r="AC118" s="169"/>
      <c r="AD118" s="169"/>
      <c r="AE118" s="169"/>
      <c r="AF118" s="169"/>
      <c r="AG118" s="169"/>
      <c r="AH118" s="169"/>
      <c r="AI118" s="169"/>
      <c r="AT118" s="114"/>
      <c r="AU118" s="114"/>
      <c r="AV118" s="114"/>
      <c r="AW118" s="114"/>
      <c r="AX118" s="114"/>
      <c r="AY118" s="114"/>
      <c r="AZ118" s="114"/>
    </row>
    <row r="119" spans="1:52" s="110" customFormat="1" ht="17.25" customHeight="1">
      <c r="A119" s="111"/>
      <c r="B119" s="248"/>
      <c r="C119" s="112"/>
      <c r="D119" s="113"/>
      <c r="E119" s="239"/>
      <c r="F119" s="239"/>
      <c r="G119" s="239"/>
      <c r="H119" s="113"/>
      <c r="I119" s="113"/>
      <c r="J119" s="113"/>
      <c r="K119" s="113"/>
      <c r="L119" s="113"/>
      <c r="M119" s="239"/>
      <c r="N119" s="239"/>
      <c r="O119" s="239"/>
      <c r="P119" s="239"/>
      <c r="Q119" s="239"/>
      <c r="R119" s="239"/>
      <c r="S119" s="239"/>
      <c r="T119" s="169"/>
      <c r="U119" s="113"/>
      <c r="V119" s="169"/>
      <c r="W119" s="169"/>
      <c r="X119" s="169"/>
      <c r="Y119" s="169"/>
      <c r="Z119" s="169"/>
      <c r="AA119" s="169"/>
      <c r="AB119" s="169"/>
      <c r="AC119" s="169"/>
      <c r="AD119" s="169"/>
      <c r="AE119" s="169"/>
      <c r="AF119" s="169"/>
      <c r="AG119" s="169"/>
      <c r="AH119" s="169"/>
      <c r="AI119" s="169"/>
      <c r="AT119" s="114"/>
      <c r="AU119" s="114"/>
      <c r="AV119" s="114"/>
      <c r="AW119" s="114"/>
      <c r="AX119" s="114"/>
      <c r="AY119" s="114"/>
      <c r="AZ119" s="114"/>
    </row>
    <row r="120" spans="1:52" s="110" customFormat="1" ht="17.25" customHeight="1">
      <c r="A120" s="111"/>
      <c r="B120" s="248"/>
      <c r="C120" s="112"/>
      <c r="D120" s="113"/>
      <c r="E120" s="239"/>
      <c r="F120" s="239"/>
      <c r="G120" s="239"/>
      <c r="H120" s="113"/>
      <c r="I120" s="113"/>
      <c r="J120" s="113"/>
      <c r="K120" s="113"/>
      <c r="L120" s="113"/>
      <c r="M120" s="239"/>
      <c r="N120" s="239"/>
      <c r="O120" s="239"/>
      <c r="P120" s="239"/>
      <c r="Q120" s="239"/>
      <c r="R120" s="239"/>
      <c r="S120" s="239"/>
      <c r="T120" s="169"/>
      <c r="U120" s="113"/>
      <c r="V120" s="169"/>
      <c r="W120" s="169"/>
      <c r="X120" s="169"/>
      <c r="Y120" s="169"/>
      <c r="Z120" s="169"/>
      <c r="AA120" s="169"/>
      <c r="AB120" s="169"/>
      <c r="AC120" s="169"/>
      <c r="AD120" s="169"/>
      <c r="AE120" s="169"/>
      <c r="AF120" s="169"/>
      <c r="AG120" s="169"/>
      <c r="AH120" s="169"/>
      <c r="AI120" s="169"/>
      <c r="AT120" s="114"/>
      <c r="AU120" s="114"/>
      <c r="AV120" s="114"/>
      <c r="AW120" s="114"/>
      <c r="AX120" s="114"/>
      <c r="AY120" s="114"/>
      <c r="AZ120" s="114"/>
    </row>
    <row r="121" spans="1:52" s="110" customFormat="1" ht="17.25" customHeight="1">
      <c r="A121" s="111"/>
      <c r="B121" s="248"/>
      <c r="C121" s="112"/>
      <c r="D121" s="113"/>
      <c r="E121" s="239"/>
      <c r="F121" s="239"/>
      <c r="G121" s="239"/>
      <c r="H121" s="113"/>
      <c r="I121" s="113"/>
      <c r="J121" s="113"/>
      <c r="K121" s="113"/>
      <c r="L121" s="113"/>
      <c r="M121" s="239"/>
      <c r="N121" s="239"/>
      <c r="O121" s="239"/>
      <c r="P121" s="239"/>
      <c r="Q121" s="239"/>
      <c r="R121" s="239"/>
      <c r="S121" s="239"/>
      <c r="T121" s="169"/>
      <c r="U121" s="113"/>
      <c r="V121" s="169"/>
      <c r="W121" s="169"/>
      <c r="X121" s="169"/>
      <c r="Y121" s="169"/>
      <c r="Z121" s="169"/>
      <c r="AA121" s="169"/>
      <c r="AB121" s="169"/>
      <c r="AC121" s="169"/>
      <c r="AD121" s="169"/>
      <c r="AE121" s="169"/>
      <c r="AF121" s="169"/>
      <c r="AG121" s="169"/>
      <c r="AH121" s="169"/>
      <c r="AI121" s="169"/>
      <c r="AT121" s="114"/>
      <c r="AU121" s="114"/>
      <c r="AV121" s="114"/>
      <c r="AW121" s="114"/>
      <c r="AX121" s="114"/>
      <c r="AY121" s="114"/>
      <c r="AZ121" s="114"/>
    </row>
    <row r="122" spans="1:52" s="110" customFormat="1" ht="17.25" customHeight="1">
      <c r="A122" s="111"/>
      <c r="B122" s="248"/>
      <c r="C122" s="112"/>
      <c r="D122" s="113"/>
      <c r="E122" s="239"/>
      <c r="F122" s="239"/>
      <c r="G122" s="239"/>
      <c r="H122" s="113"/>
      <c r="I122" s="113"/>
      <c r="J122" s="113"/>
      <c r="K122" s="113"/>
      <c r="L122" s="113"/>
      <c r="M122" s="239"/>
      <c r="N122" s="239"/>
      <c r="O122" s="239"/>
      <c r="P122" s="239"/>
      <c r="Q122" s="239"/>
      <c r="R122" s="239"/>
      <c r="S122" s="239"/>
      <c r="T122" s="169"/>
      <c r="U122" s="113"/>
      <c r="V122" s="169"/>
      <c r="W122" s="169"/>
      <c r="X122" s="169"/>
      <c r="Y122" s="169"/>
      <c r="Z122" s="169"/>
      <c r="AA122" s="169"/>
      <c r="AB122" s="169"/>
      <c r="AC122" s="169"/>
      <c r="AD122" s="169"/>
      <c r="AE122" s="169"/>
      <c r="AF122" s="169"/>
      <c r="AG122" s="169"/>
      <c r="AH122" s="169"/>
      <c r="AI122" s="169"/>
      <c r="AT122" s="114"/>
      <c r="AU122" s="114"/>
      <c r="AV122" s="114"/>
      <c r="AW122" s="114"/>
      <c r="AX122" s="114"/>
      <c r="AY122" s="114"/>
      <c r="AZ122" s="114"/>
    </row>
    <row r="123" spans="1:52" s="110" customFormat="1" ht="17.25" customHeight="1">
      <c r="A123" s="111"/>
      <c r="B123" s="248"/>
      <c r="C123" s="112"/>
      <c r="D123" s="113"/>
      <c r="E123" s="239"/>
      <c r="F123" s="239"/>
      <c r="G123" s="239"/>
      <c r="H123" s="113"/>
      <c r="I123" s="113"/>
      <c r="J123" s="113"/>
      <c r="K123" s="113"/>
      <c r="L123" s="113"/>
      <c r="M123" s="239"/>
      <c r="N123" s="239"/>
      <c r="O123" s="239"/>
      <c r="P123" s="239"/>
      <c r="Q123" s="239"/>
      <c r="R123" s="239"/>
      <c r="S123" s="239"/>
      <c r="T123" s="169"/>
      <c r="U123" s="113"/>
      <c r="V123" s="169"/>
      <c r="W123" s="169"/>
      <c r="X123" s="169"/>
      <c r="Y123" s="169"/>
      <c r="Z123" s="169"/>
      <c r="AA123" s="169"/>
      <c r="AB123" s="169"/>
      <c r="AC123" s="169"/>
      <c r="AD123" s="169"/>
      <c r="AE123" s="169"/>
      <c r="AF123" s="169"/>
      <c r="AG123" s="169"/>
      <c r="AH123" s="169"/>
      <c r="AI123" s="169"/>
      <c r="AT123" s="114"/>
      <c r="AU123" s="114"/>
      <c r="AV123" s="114"/>
      <c r="AW123" s="114"/>
      <c r="AX123" s="114"/>
      <c r="AY123" s="114"/>
      <c r="AZ123" s="114"/>
    </row>
    <row r="124" spans="1:52" s="110" customFormat="1" ht="17.25" customHeight="1">
      <c r="A124" s="111"/>
      <c r="B124" s="248"/>
      <c r="C124" s="112"/>
      <c r="D124" s="113"/>
      <c r="E124" s="239"/>
      <c r="F124" s="239"/>
      <c r="G124" s="239"/>
      <c r="H124" s="113"/>
      <c r="I124" s="113"/>
      <c r="J124" s="113"/>
      <c r="K124" s="113"/>
      <c r="L124" s="113"/>
      <c r="M124" s="239"/>
      <c r="N124" s="239"/>
      <c r="O124" s="239"/>
      <c r="P124" s="239"/>
      <c r="Q124" s="239"/>
      <c r="R124" s="239"/>
      <c r="S124" s="239"/>
      <c r="T124" s="169"/>
      <c r="U124" s="113"/>
      <c r="V124" s="169"/>
      <c r="W124" s="169"/>
      <c r="X124" s="169"/>
      <c r="Y124" s="169"/>
      <c r="Z124" s="169"/>
      <c r="AA124" s="169"/>
      <c r="AB124" s="169"/>
      <c r="AC124" s="169"/>
      <c r="AD124" s="169"/>
      <c r="AE124" s="169"/>
      <c r="AF124" s="169"/>
      <c r="AG124" s="169"/>
      <c r="AH124" s="169"/>
      <c r="AI124" s="169"/>
      <c r="AT124" s="114"/>
      <c r="AU124" s="114"/>
      <c r="AV124" s="114"/>
      <c r="AW124" s="114"/>
      <c r="AX124" s="114"/>
      <c r="AY124" s="114"/>
      <c r="AZ124" s="114"/>
    </row>
    <row r="125" spans="1:52" s="110" customFormat="1" ht="17.25" customHeight="1">
      <c r="A125" s="111"/>
      <c r="B125" s="248"/>
      <c r="C125" s="112"/>
      <c r="D125" s="113"/>
      <c r="E125" s="239"/>
      <c r="F125" s="239"/>
      <c r="G125" s="239"/>
      <c r="H125" s="113"/>
      <c r="I125" s="113"/>
      <c r="J125" s="113"/>
      <c r="K125" s="113"/>
      <c r="L125" s="113"/>
      <c r="M125" s="239"/>
      <c r="N125" s="239"/>
      <c r="O125" s="239"/>
      <c r="P125" s="239"/>
      <c r="Q125" s="239"/>
      <c r="R125" s="239"/>
      <c r="S125" s="239"/>
      <c r="T125" s="169"/>
      <c r="U125" s="113"/>
      <c r="V125" s="169"/>
      <c r="W125" s="169"/>
      <c r="X125" s="169"/>
      <c r="Y125" s="169"/>
      <c r="Z125" s="169"/>
      <c r="AA125" s="169"/>
      <c r="AB125" s="169"/>
      <c r="AC125" s="169"/>
      <c r="AD125" s="169"/>
      <c r="AE125" s="169"/>
      <c r="AF125" s="169"/>
      <c r="AG125" s="169"/>
      <c r="AH125" s="169"/>
      <c r="AI125" s="169"/>
      <c r="AS125" s="114"/>
      <c r="AT125" s="114"/>
      <c r="AU125" s="114"/>
      <c r="AV125" s="114"/>
      <c r="AW125" s="114"/>
      <c r="AX125" s="114"/>
      <c r="AY125" s="114"/>
    </row>
    <row r="126" spans="1:52" s="110" customFormat="1" ht="17.25" customHeight="1">
      <c r="A126" s="111"/>
      <c r="B126" s="248"/>
      <c r="C126" s="112"/>
      <c r="D126" s="113"/>
      <c r="E126" s="239"/>
      <c r="F126" s="239"/>
      <c r="G126" s="239"/>
      <c r="H126" s="113"/>
      <c r="I126" s="113"/>
      <c r="J126" s="113"/>
      <c r="K126" s="113"/>
      <c r="L126" s="113"/>
      <c r="M126" s="239"/>
      <c r="N126" s="239"/>
      <c r="O126" s="239"/>
      <c r="P126" s="239"/>
      <c r="Q126" s="239"/>
      <c r="R126" s="239"/>
      <c r="S126" s="239"/>
      <c r="T126" s="169"/>
      <c r="U126" s="113"/>
      <c r="V126" s="169"/>
      <c r="W126" s="169"/>
      <c r="X126" s="169"/>
      <c r="Y126" s="169"/>
      <c r="Z126" s="169"/>
      <c r="AA126" s="169"/>
      <c r="AB126" s="169"/>
      <c r="AC126" s="169"/>
      <c r="AD126" s="169"/>
      <c r="AE126" s="169"/>
      <c r="AF126" s="169"/>
      <c r="AG126" s="169"/>
      <c r="AH126" s="169"/>
      <c r="AI126" s="169"/>
      <c r="AS126" s="114"/>
      <c r="AT126" s="114"/>
      <c r="AU126" s="114"/>
      <c r="AV126" s="114"/>
      <c r="AW126" s="114"/>
      <c r="AX126" s="114"/>
      <c r="AY126" s="114"/>
    </row>
    <row r="127" spans="1:52" s="110" customFormat="1" ht="17.25" customHeight="1">
      <c r="A127" s="111"/>
      <c r="B127" s="248"/>
      <c r="C127" s="112"/>
      <c r="D127" s="113"/>
      <c r="E127" s="239"/>
      <c r="F127" s="239"/>
      <c r="G127" s="239"/>
      <c r="H127" s="113"/>
      <c r="I127" s="113"/>
      <c r="J127" s="113"/>
      <c r="K127" s="113"/>
      <c r="L127" s="113"/>
      <c r="M127" s="239"/>
      <c r="N127" s="239"/>
      <c r="O127" s="239"/>
      <c r="P127" s="239"/>
      <c r="Q127" s="239"/>
      <c r="R127" s="239"/>
      <c r="S127" s="239"/>
      <c r="T127" s="169"/>
      <c r="U127" s="113"/>
      <c r="V127" s="169"/>
      <c r="W127" s="169"/>
      <c r="X127" s="169"/>
      <c r="Y127" s="169"/>
      <c r="Z127" s="169"/>
      <c r="AA127" s="169"/>
      <c r="AB127" s="169"/>
      <c r="AC127" s="169"/>
      <c r="AD127" s="169"/>
      <c r="AE127" s="169"/>
      <c r="AF127" s="169"/>
      <c r="AG127" s="169"/>
      <c r="AH127" s="169"/>
      <c r="AI127" s="169"/>
      <c r="AS127" s="114"/>
      <c r="AT127" s="114"/>
      <c r="AU127" s="114"/>
      <c r="AV127" s="114"/>
      <c r="AW127" s="114"/>
      <c r="AX127" s="114"/>
      <c r="AY127" s="114"/>
    </row>
    <row r="128" spans="1:52" s="110" customFormat="1" ht="17.25" customHeight="1">
      <c r="A128" s="111"/>
      <c r="B128" s="248"/>
      <c r="C128" s="112"/>
      <c r="D128" s="113"/>
      <c r="E128" s="239"/>
      <c r="F128" s="239"/>
      <c r="G128" s="239"/>
      <c r="H128" s="113"/>
      <c r="I128" s="113"/>
      <c r="J128" s="113"/>
      <c r="K128" s="113"/>
      <c r="L128" s="113"/>
      <c r="M128" s="239"/>
      <c r="N128" s="239"/>
      <c r="O128" s="239"/>
      <c r="P128" s="239"/>
      <c r="Q128" s="239"/>
      <c r="R128" s="239"/>
      <c r="S128" s="239"/>
      <c r="T128" s="169"/>
      <c r="U128" s="113"/>
      <c r="V128" s="169"/>
      <c r="W128" s="169"/>
      <c r="X128" s="169"/>
      <c r="Y128" s="169"/>
      <c r="Z128" s="169"/>
      <c r="AA128" s="169"/>
      <c r="AB128" s="169"/>
      <c r="AC128" s="169"/>
      <c r="AD128" s="169"/>
      <c r="AE128" s="169"/>
      <c r="AF128" s="169"/>
      <c r="AG128" s="169"/>
      <c r="AH128" s="169"/>
      <c r="AI128" s="169"/>
      <c r="AS128" s="114"/>
      <c r="AT128" s="114"/>
      <c r="AU128" s="114"/>
      <c r="AV128" s="114"/>
      <c r="AW128" s="114"/>
      <c r="AX128" s="114"/>
      <c r="AY128" s="114"/>
    </row>
    <row r="129" spans="1:51" s="110" customFormat="1" ht="17.25" customHeight="1">
      <c r="A129" s="111"/>
      <c r="B129" s="248"/>
      <c r="C129" s="112"/>
      <c r="D129" s="113"/>
      <c r="E129" s="239"/>
      <c r="F129" s="239"/>
      <c r="G129" s="239"/>
      <c r="H129" s="113"/>
      <c r="I129" s="113"/>
      <c r="J129" s="113"/>
      <c r="K129" s="113"/>
      <c r="L129" s="113"/>
      <c r="M129" s="239"/>
      <c r="N129" s="239"/>
      <c r="O129" s="239"/>
      <c r="P129" s="239"/>
      <c r="Q129" s="239"/>
      <c r="R129" s="239"/>
      <c r="S129" s="239"/>
      <c r="T129" s="169"/>
      <c r="U129" s="113"/>
      <c r="V129" s="169"/>
      <c r="W129" s="169"/>
      <c r="X129" s="169"/>
      <c r="Y129" s="169"/>
      <c r="Z129" s="169"/>
      <c r="AA129" s="169"/>
      <c r="AB129" s="169"/>
      <c r="AC129" s="169"/>
      <c r="AD129" s="169"/>
      <c r="AE129" s="169"/>
      <c r="AF129" s="169"/>
      <c r="AG129" s="169"/>
      <c r="AH129" s="169"/>
      <c r="AI129" s="169"/>
      <c r="AS129" s="114"/>
      <c r="AT129" s="114"/>
      <c r="AU129" s="114"/>
      <c r="AV129" s="114"/>
      <c r="AW129" s="114"/>
      <c r="AX129" s="114"/>
      <c r="AY129" s="114"/>
    </row>
    <row r="130" spans="1:51" s="110" customFormat="1" ht="17.25" customHeight="1">
      <c r="A130" s="111"/>
      <c r="B130" s="248"/>
      <c r="C130" s="112"/>
      <c r="D130" s="113"/>
      <c r="E130" s="239"/>
      <c r="F130" s="239"/>
      <c r="G130" s="239"/>
      <c r="H130" s="113"/>
      <c r="I130" s="113"/>
      <c r="J130" s="113"/>
      <c r="K130" s="113"/>
      <c r="L130" s="113"/>
      <c r="M130" s="239"/>
      <c r="N130" s="239"/>
      <c r="O130" s="239"/>
      <c r="P130" s="239"/>
      <c r="Q130" s="239"/>
      <c r="R130" s="239"/>
      <c r="S130" s="239"/>
      <c r="T130" s="169"/>
      <c r="U130" s="113"/>
      <c r="V130" s="169"/>
      <c r="W130" s="169"/>
      <c r="X130" s="169"/>
      <c r="Y130" s="169"/>
      <c r="Z130" s="169"/>
      <c r="AA130" s="169"/>
      <c r="AB130" s="169"/>
      <c r="AC130" s="169"/>
      <c r="AD130" s="169"/>
      <c r="AE130" s="169"/>
      <c r="AF130" s="169"/>
      <c r="AG130" s="169"/>
      <c r="AH130" s="169"/>
      <c r="AI130" s="169"/>
      <c r="AS130" s="114"/>
      <c r="AT130" s="114"/>
      <c r="AU130" s="114"/>
      <c r="AV130" s="114"/>
      <c r="AW130" s="114"/>
      <c r="AX130" s="114"/>
      <c r="AY130" s="114"/>
    </row>
    <row r="131" spans="1:51" s="110" customFormat="1" ht="17.100000000000001" customHeight="1">
      <c r="A131" s="111"/>
      <c r="B131" s="248"/>
      <c r="C131" s="112"/>
      <c r="D131" s="113"/>
      <c r="E131" s="239"/>
      <c r="F131" s="239"/>
      <c r="G131" s="239"/>
      <c r="H131" s="113"/>
      <c r="I131" s="113"/>
      <c r="J131" s="113"/>
      <c r="K131" s="113"/>
      <c r="L131" s="113"/>
      <c r="M131" s="239"/>
      <c r="N131" s="239"/>
      <c r="O131" s="239"/>
      <c r="P131" s="239"/>
      <c r="Q131" s="239"/>
      <c r="R131" s="239"/>
      <c r="S131" s="239"/>
      <c r="T131" s="169"/>
      <c r="U131" s="113"/>
      <c r="V131" s="169"/>
      <c r="W131" s="169"/>
      <c r="X131" s="169"/>
      <c r="Y131" s="169"/>
      <c r="Z131" s="169"/>
      <c r="AA131" s="169"/>
      <c r="AB131" s="169"/>
      <c r="AC131" s="169"/>
      <c r="AD131" s="169"/>
      <c r="AE131" s="169"/>
      <c r="AF131" s="169"/>
      <c r="AG131" s="169"/>
      <c r="AH131" s="169"/>
      <c r="AI131" s="169"/>
      <c r="AS131" s="114"/>
      <c r="AT131" s="114"/>
      <c r="AU131" s="114"/>
      <c r="AV131" s="114"/>
      <c r="AW131" s="114"/>
      <c r="AX131" s="114"/>
      <c r="AY131" s="114"/>
    </row>
    <row r="132" spans="1:51" s="110" customFormat="1" ht="17.25" customHeight="1">
      <c r="A132" s="111"/>
      <c r="B132" s="248"/>
      <c r="C132" s="112"/>
      <c r="D132" s="113"/>
      <c r="E132" s="239"/>
      <c r="F132" s="239"/>
      <c r="G132" s="239"/>
      <c r="H132" s="113"/>
      <c r="I132" s="113"/>
      <c r="J132" s="113"/>
      <c r="K132" s="113"/>
      <c r="L132" s="113"/>
      <c r="M132" s="239"/>
      <c r="N132" s="239"/>
      <c r="O132" s="239"/>
      <c r="P132" s="239"/>
      <c r="Q132" s="239"/>
      <c r="R132" s="239"/>
      <c r="S132" s="239"/>
      <c r="T132" s="169"/>
      <c r="U132" s="113"/>
      <c r="V132" s="169"/>
      <c r="W132" s="169"/>
      <c r="X132" s="169"/>
      <c r="Y132" s="169"/>
      <c r="Z132" s="169"/>
      <c r="AA132" s="169"/>
      <c r="AB132" s="169"/>
      <c r="AC132" s="169"/>
      <c r="AD132" s="169"/>
      <c r="AE132" s="169"/>
      <c r="AF132" s="169"/>
      <c r="AG132" s="169"/>
      <c r="AH132" s="169"/>
      <c r="AI132" s="169"/>
      <c r="AS132" s="114"/>
      <c r="AT132" s="114"/>
      <c r="AU132" s="114"/>
      <c r="AV132" s="114"/>
      <c r="AW132" s="114"/>
      <c r="AX132" s="114"/>
      <c r="AY132" s="114"/>
    </row>
    <row r="133" spans="1:51" s="110" customFormat="1" ht="17.25" customHeight="1">
      <c r="A133" s="111"/>
      <c r="B133" s="248"/>
      <c r="C133" s="112"/>
      <c r="D133" s="113"/>
      <c r="E133" s="239"/>
      <c r="F133" s="239"/>
      <c r="G133" s="239"/>
      <c r="H133" s="113"/>
      <c r="I133" s="113"/>
      <c r="J133" s="113"/>
      <c r="K133" s="113"/>
      <c r="L133" s="113"/>
      <c r="M133" s="239"/>
      <c r="N133" s="239"/>
      <c r="O133" s="239"/>
      <c r="P133" s="239"/>
      <c r="Q133" s="239"/>
      <c r="R133" s="239"/>
      <c r="S133" s="239"/>
      <c r="T133" s="169"/>
      <c r="U133" s="113"/>
      <c r="V133" s="169"/>
      <c r="W133" s="169"/>
      <c r="X133" s="169"/>
      <c r="Y133" s="169"/>
      <c r="Z133" s="169"/>
      <c r="AA133" s="169"/>
      <c r="AB133" s="169"/>
      <c r="AC133" s="169"/>
      <c r="AD133" s="169"/>
      <c r="AE133" s="169"/>
      <c r="AF133" s="169"/>
      <c r="AG133" s="169"/>
      <c r="AH133" s="169"/>
      <c r="AI133" s="169"/>
      <c r="AS133" s="114"/>
      <c r="AT133" s="114"/>
      <c r="AU133" s="114"/>
      <c r="AV133" s="114"/>
      <c r="AW133" s="114"/>
      <c r="AX133" s="114"/>
      <c r="AY133" s="114"/>
    </row>
    <row r="134" spans="1:51" s="110" customFormat="1" ht="17.25" customHeight="1">
      <c r="A134" s="111"/>
      <c r="B134" s="248"/>
      <c r="C134" s="112"/>
      <c r="D134" s="113"/>
      <c r="E134" s="239"/>
      <c r="F134" s="239"/>
      <c r="G134" s="239"/>
      <c r="H134" s="113"/>
      <c r="I134" s="113"/>
      <c r="J134" s="113"/>
      <c r="K134" s="113"/>
      <c r="L134" s="113"/>
      <c r="M134" s="239"/>
      <c r="N134" s="239"/>
      <c r="O134" s="239"/>
      <c r="P134" s="239"/>
      <c r="Q134" s="239"/>
      <c r="R134" s="239"/>
      <c r="S134" s="239"/>
      <c r="T134" s="169"/>
      <c r="U134" s="113"/>
      <c r="V134" s="169"/>
      <c r="W134" s="169"/>
      <c r="X134" s="169"/>
      <c r="Y134" s="169"/>
      <c r="Z134" s="169"/>
      <c r="AA134" s="169"/>
      <c r="AB134" s="169"/>
      <c r="AC134" s="169"/>
      <c r="AD134" s="169"/>
      <c r="AE134" s="169"/>
      <c r="AF134" s="169"/>
      <c r="AG134" s="169"/>
      <c r="AH134" s="169"/>
      <c r="AI134" s="169"/>
      <c r="AS134" s="114"/>
      <c r="AT134" s="114"/>
      <c r="AU134" s="114"/>
      <c r="AV134" s="114"/>
      <c r="AW134" s="114"/>
      <c r="AX134" s="114"/>
      <c r="AY134" s="114"/>
    </row>
    <row r="135" spans="1:51" s="110" customFormat="1" ht="17.25" customHeight="1">
      <c r="A135" s="111"/>
      <c r="B135" s="248"/>
      <c r="C135" s="112"/>
      <c r="D135" s="113"/>
      <c r="E135" s="239"/>
      <c r="F135" s="239"/>
      <c r="G135" s="239"/>
      <c r="H135" s="113"/>
      <c r="I135" s="113"/>
      <c r="J135" s="113"/>
      <c r="K135" s="113"/>
      <c r="L135" s="113"/>
      <c r="M135" s="239"/>
      <c r="N135" s="239"/>
      <c r="O135" s="239"/>
      <c r="P135" s="239"/>
      <c r="Q135" s="239"/>
      <c r="R135" s="239"/>
      <c r="S135" s="239"/>
      <c r="T135" s="169"/>
      <c r="U135" s="113"/>
      <c r="V135" s="169"/>
      <c r="W135" s="169"/>
      <c r="X135" s="169"/>
      <c r="Y135" s="169"/>
      <c r="Z135" s="169"/>
      <c r="AA135" s="169"/>
      <c r="AB135" s="169"/>
      <c r="AC135" s="169"/>
      <c r="AD135" s="169"/>
      <c r="AE135" s="169"/>
      <c r="AF135" s="169"/>
      <c r="AG135" s="169"/>
      <c r="AH135" s="169"/>
      <c r="AI135" s="169"/>
      <c r="AS135" s="114"/>
      <c r="AT135" s="114"/>
      <c r="AU135" s="114"/>
      <c r="AV135" s="114"/>
      <c r="AW135" s="114"/>
      <c r="AX135" s="114"/>
      <c r="AY135" s="114"/>
    </row>
    <row r="136" spans="1:51" s="110" customFormat="1" ht="17.25" customHeight="1">
      <c r="A136" s="111"/>
      <c r="B136" s="248"/>
      <c r="C136" s="112"/>
      <c r="D136" s="113"/>
      <c r="E136" s="239"/>
      <c r="F136" s="239"/>
      <c r="G136" s="239"/>
      <c r="H136" s="113"/>
      <c r="I136" s="113"/>
      <c r="J136" s="113"/>
      <c r="K136" s="113"/>
      <c r="L136" s="113"/>
      <c r="M136" s="239"/>
      <c r="N136" s="239"/>
      <c r="O136" s="239"/>
      <c r="P136" s="239"/>
      <c r="Q136" s="239"/>
      <c r="R136" s="239"/>
      <c r="S136" s="239"/>
      <c r="T136" s="169"/>
      <c r="U136" s="113"/>
      <c r="V136" s="169"/>
      <c r="W136" s="169"/>
      <c r="X136" s="169"/>
      <c r="Y136" s="169"/>
      <c r="Z136" s="169"/>
      <c r="AA136" s="169"/>
      <c r="AB136" s="169"/>
      <c r="AC136" s="169"/>
      <c r="AD136" s="169"/>
      <c r="AE136" s="169"/>
      <c r="AF136" s="169"/>
      <c r="AG136" s="169"/>
      <c r="AH136" s="169"/>
      <c r="AI136" s="169"/>
      <c r="AS136" s="114"/>
      <c r="AT136" s="114"/>
      <c r="AU136" s="114"/>
      <c r="AV136" s="114"/>
      <c r="AW136" s="114"/>
      <c r="AX136" s="114"/>
      <c r="AY136" s="114"/>
    </row>
    <row r="137" spans="1:51" s="110" customFormat="1" ht="17.25" customHeight="1">
      <c r="A137" s="111"/>
      <c r="B137" s="248"/>
      <c r="C137" s="112"/>
      <c r="D137" s="113"/>
      <c r="E137" s="239"/>
      <c r="F137" s="239"/>
      <c r="G137" s="239"/>
      <c r="H137" s="113"/>
      <c r="I137" s="113"/>
      <c r="J137" s="113"/>
      <c r="K137" s="113"/>
      <c r="L137" s="113"/>
      <c r="M137" s="239"/>
      <c r="N137" s="239"/>
      <c r="O137" s="239"/>
      <c r="P137" s="239"/>
      <c r="Q137" s="239"/>
      <c r="R137" s="239"/>
      <c r="S137" s="239"/>
      <c r="T137" s="169"/>
      <c r="U137" s="113"/>
      <c r="V137" s="169"/>
      <c r="W137" s="169"/>
      <c r="X137" s="169"/>
      <c r="Y137" s="169"/>
      <c r="Z137" s="169"/>
      <c r="AA137" s="169"/>
      <c r="AB137" s="169"/>
      <c r="AC137" s="169"/>
      <c r="AD137" s="169"/>
      <c r="AE137" s="169"/>
      <c r="AF137" s="169"/>
      <c r="AG137" s="169"/>
      <c r="AH137" s="169"/>
      <c r="AI137" s="169"/>
      <c r="AS137" s="114"/>
      <c r="AT137" s="114"/>
      <c r="AU137" s="114"/>
      <c r="AV137" s="114"/>
      <c r="AW137" s="114"/>
      <c r="AX137" s="114"/>
      <c r="AY137" s="114"/>
    </row>
    <row r="138" spans="1:51" s="110" customFormat="1" ht="17.25" customHeight="1">
      <c r="A138" s="111"/>
      <c r="B138" s="248"/>
      <c r="C138" s="112"/>
      <c r="D138" s="113"/>
      <c r="E138" s="239"/>
      <c r="F138" s="239"/>
      <c r="G138" s="239"/>
      <c r="H138" s="113"/>
      <c r="I138" s="113"/>
      <c r="J138" s="113"/>
      <c r="K138" s="113"/>
      <c r="L138" s="113"/>
      <c r="M138" s="239"/>
      <c r="N138" s="239"/>
      <c r="O138" s="239"/>
      <c r="P138" s="239"/>
      <c r="Q138" s="239"/>
      <c r="R138" s="239"/>
      <c r="S138" s="239"/>
      <c r="T138" s="169"/>
      <c r="U138" s="113"/>
      <c r="V138" s="169"/>
      <c r="W138" s="169"/>
      <c r="X138" s="169"/>
      <c r="Y138" s="169"/>
      <c r="Z138" s="169"/>
      <c r="AA138" s="169"/>
      <c r="AB138" s="169"/>
      <c r="AC138" s="169"/>
      <c r="AD138" s="169"/>
      <c r="AE138" s="169"/>
      <c r="AF138" s="169"/>
      <c r="AG138" s="169"/>
      <c r="AH138" s="169"/>
      <c r="AI138" s="169"/>
      <c r="AS138" s="114"/>
      <c r="AT138" s="114"/>
      <c r="AU138" s="114"/>
      <c r="AV138" s="114"/>
      <c r="AW138" s="114"/>
      <c r="AX138" s="114"/>
      <c r="AY138" s="114"/>
    </row>
    <row r="139" spans="1:51" s="110" customFormat="1" ht="17.25" customHeight="1">
      <c r="A139" s="111"/>
      <c r="B139" s="248"/>
      <c r="C139" s="112"/>
      <c r="D139" s="113"/>
      <c r="E139" s="239"/>
      <c r="F139" s="239"/>
      <c r="G139" s="239"/>
      <c r="H139" s="113"/>
      <c r="I139" s="113"/>
      <c r="J139" s="113"/>
      <c r="K139" s="113"/>
      <c r="L139" s="113"/>
      <c r="M139" s="239"/>
      <c r="N139" s="239"/>
      <c r="O139" s="239"/>
      <c r="P139" s="239"/>
      <c r="Q139" s="239"/>
      <c r="R139" s="239"/>
      <c r="S139" s="239"/>
      <c r="T139" s="169"/>
      <c r="U139" s="113"/>
      <c r="V139" s="169"/>
      <c r="W139" s="169"/>
      <c r="X139" s="169"/>
      <c r="Y139" s="169"/>
      <c r="Z139" s="169"/>
      <c r="AA139" s="169"/>
      <c r="AB139" s="169"/>
      <c r="AC139" s="169"/>
      <c r="AD139" s="169"/>
      <c r="AE139" s="169"/>
      <c r="AF139" s="169"/>
      <c r="AG139" s="169"/>
      <c r="AH139" s="169"/>
      <c r="AI139" s="169"/>
      <c r="AS139" s="114"/>
      <c r="AT139" s="114"/>
      <c r="AU139" s="114"/>
      <c r="AV139" s="114"/>
      <c r="AW139" s="114"/>
      <c r="AX139" s="114"/>
      <c r="AY139" s="114"/>
    </row>
    <row r="140" spans="1:51" s="110" customFormat="1" ht="17.25" customHeight="1">
      <c r="A140" s="111"/>
      <c r="B140" s="248"/>
      <c r="C140" s="112"/>
      <c r="D140" s="113"/>
      <c r="E140" s="239"/>
      <c r="F140" s="239"/>
      <c r="G140" s="239"/>
      <c r="H140" s="113"/>
      <c r="I140" s="113"/>
      <c r="J140" s="113"/>
      <c r="K140" s="113"/>
      <c r="L140" s="113"/>
      <c r="M140" s="239"/>
      <c r="N140" s="239"/>
      <c r="O140" s="239"/>
      <c r="P140" s="239"/>
      <c r="Q140" s="239"/>
      <c r="R140" s="239"/>
      <c r="S140" s="239"/>
      <c r="T140" s="169"/>
      <c r="U140" s="113"/>
      <c r="V140" s="169"/>
      <c r="W140" s="169"/>
      <c r="X140" s="169"/>
      <c r="Y140" s="169"/>
      <c r="Z140" s="169"/>
      <c r="AA140" s="169"/>
      <c r="AB140" s="169"/>
      <c r="AC140" s="169"/>
      <c r="AD140" s="169"/>
      <c r="AE140" s="169"/>
      <c r="AF140" s="169"/>
      <c r="AG140" s="169"/>
      <c r="AH140" s="169"/>
      <c r="AI140" s="169"/>
      <c r="AS140" s="114"/>
      <c r="AT140" s="114"/>
      <c r="AU140" s="114"/>
      <c r="AV140" s="114"/>
      <c r="AW140" s="114"/>
      <c r="AX140" s="114"/>
      <c r="AY140" s="114"/>
    </row>
    <row r="141" spans="1:51" s="110" customFormat="1" ht="17.25" customHeight="1">
      <c r="A141" s="111"/>
      <c r="B141" s="248"/>
      <c r="C141" s="112"/>
      <c r="D141" s="113"/>
      <c r="E141" s="239"/>
      <c r="F141" s="239"/>
      <c r="G141" s="239"/>
      <c r="H141" s="113"/>
      <c r="I141" s="113"/>
      <c r="J141" s="113"/>
      <c r="K141" s="113"/>
      <c r="L141" s="113"/>
      <c r="M141" s="239"/>
      <c r="N141" s="239"/>
      <c r="O141" s="239"/>
      <c r="P141" s="239"/>
      <c r="Q141" s="239"/>
      <c r="R141" s="239"/>
      <c r="S141" s="239"/>
      <c r="T141" s="169"/>
      <c r="U141" s="113"/>
      <c r="V141" s="169"/>
      <c r="W141" s="169"/>
      <c r="X141" s="169"/>
      <c r="Y141" s="169"/>
      <c r="Z141" s="169"/>
      <c r="AA141" s="169"/>
      <c r="AB141" s="169"/>
      <c r="AC141" s="169"/>
      <c r="AD141" s="169"/>
      <c r="AE141" s="169"/>
      <c r="AF141" s="169"/>
      <c r="AG141" s="169"/>
      <c r="AH141" s="169"/>
      <c r="AI141" s="169"/>
      <c r="AS141" s="114"/>
      <c r="AT141" s="114"/>
      <c r="AU141" s="114"/>
      <c r="AV141" s="114"/>
      <c r="AW141" s="114"/>
      <c r="AX141" s="114"/>
      <c r="AY141" s="114"/>
    </row>
    <row r="142" spans="1:51" s="110" customFormat="1" ht="17.25" customHeight="1">
      <c r="A142" s="111"/>
      <c r="B142" s="248"/>
      <c r="C142" s="112"/>
      <c r="D142" s="113"/>
      <c r="E142" s="239"/>
      <c r="F142" s="239"/>
      <c r="G142" s="239"/>
      <c r="H142" s="113"/>
      <c r="I142" s="113"/>
      <c r="J142" s="113"/>
      <c r="K142" s="113"/>
      <c r="L142" s="113"/>
      <c r="M142" s="239"/>
      <c r="N142" s="239"/>
      <c r="O142" s="239"/>
      <c r="P142" s="239"/>
      <c r="Q142" s="239"/>
      <c r="R142" s="239"/>
      <c r="S142" s="239"/>
      <c r="T142" s="169"/>
      <c r="U142" s="113"/>
      <c r="V142" s="169"/>
      <c r="W142" s="169"/>
      <c r="X142" s="169"/>
      <c r="Y142" s="169"/>
      <c r="Z142" s="169"/>
      <c r="AA142" s="169"/>
      <c r="AB142" s="169"/>
      <c r="AC142" s="169"/>
      <c r="AD142" s="169"/>
      <c r="AE142" s="169"/>
      <c r="AF142" s="169"/>
      <c r="AG142" s="169"/>
      <c r="AH142" s="169"/>
      <c r="AI142" s="169"/>
      <c r="AS142" s="114"/>
      <c r="AT142" s="114"/>
      <c r="AU142" s="114"/>
      <c r="AV142" s="114"/>
      <c r="AW142" s="114"/>
      <c r="AX142" s="114"/>
      <c r="AY142" s="114"/>
    </row>
    <row r="143" spans="1:51" s="110" customFormat="1" ht="17.25" customHeight="1">
      <c r="A143" s="111"/>
      <c r="B143" s="248"/>
      <c r="C143" s="112"/>
      <c r="D143" s="113"/>
      <c r="E143" s="239"/>
      <c r="F143" s="239"/>
      <c r="G143" s="239"/>
      <c r="H143" s="113"/>
      <c r="I143" s="113"/>
      <c r="J143" s="113"/>
      <c r="K143" s="113"/>
      <c r="L143" s="113"/>
      <c r="M143" s="239"/>
      <c r="N143" s="239"/>
      <c r="O143" s="239"/>
      <c r="P143" s="239"/>
      <c r="Q143" s="239"/>
      <c r="R143" s="239"/>
      <c r="S143" s="239"/>
      <c r="T143" s="169"/>
      <c r="U143" s="113"/>
      <c r="V143" s="169"/>
      <c r="W143" s="169"/>
      <c r="X143" s="169"/>
      <c r="Y143" s="169"/>
      <c r="Z143" s="169"/>
      <c r="AA143" s="169"/>
      <c r="AB143" s="169"/>
      <c r="AC143" s="169"/>
      <c r="AD143" s="169"/>
      <c r="AE143" s="169"/>
      <c r="AF143" s="169"/>
      <c r="AG143" s="169"/>
      <c r="AH143" s="169"/>
      <c r="AI143" s="169"/>
      <c r="AS143" s="114"/>
      <c r="AT143" s="114"/>
      <c r="AU143" s="114"/>
      <c r="AV143" s="114"/>
      <c r="AW143" s="114"/>
      <c r="AX143" s="114"/>
      <c r="AY143" s="114"/>
    </row>
    <row r="144" spans="1:51" s="110" customFormat="1" ht="17.25" customHeight="1">
      <c r="A144" s="111"/>
      <c r="B144" s="248"/>
      <c r="C144" s="112"/>
      <c r="D144" s="113"/>
      <c r="E144" s="239"/>
      <c r="F144" s="239"/>
      <c r="G144" s="239"/>
      <c r="H144" s="113"/>
      <c r="I144" s="113"/>
      <c r="J144" s="113"/>
      <c r="K144" s="113"/>
      <c r="L144" s="113"/>
      <c r="M144" s="239"/>
      <c r="N144" s="239"/>
      <c r="O144" s="239"/>
      <c r="P144" s="239"/>
      <c r="Q144" s="239"/>
      <c r="R144" s="239"/>
      <c r="S144" s="239"/>
      <c r="T144" s="169"/>
      <c r="U144" s="113"/>
      <c r="V144" s="169"/>
      <c r="W144" s="169"/>
      <c r="X144" s="169"/>
      <c r="Y144" s="169"/>
      <c r="Z144" s="169"/>
      <c r="AA144" s="169"/>
      <c r="AB144" s="169"/>
      <c r="AC144" s="169"/>
      <c r="AD144" s="169"/>
      <c r="AE144" s="169"/>
      <c r="AF144" s="169"/>
      <c r="AG144" s="169"/>
      <c r="AH144" s="169"/>
      <c r="AI144" s="169"/>
      <c r="AS144" s="114"/>
      <c r="AT144" s="114"/>
      <c r="AU144" s="114"/>
      <c r="AV144" s="114"/>
      <c r="AW144" s="114"/>
      <c r="AX144" s="114"/>
      <c r="AY144" s="114"/>
    </row>
    <row r="145" spans="1:51" s="110" customFormat="1" ht="17.25" customHeight="1">
      <c r="A145" s="111"/>
      <c r="B145" s="248"/>
      <c r="C145" s="112"/>
      <c r="D145" s="113"/>
      <c r="E145" s="239"/>
      <c r="F145" s="239"/>
      <c r="G145" s="239"/>
      <c r="H145" s="113"/>
      <c r="I145" s="113"/>
      <c r="J145" s="113"/>
      <c r="K145" s="113"/>
      <c r="L145" s="113"/>
      <c r="M145" s="239"/>
      <c r="N145" s="239"/>
      <c r="O145" s="239"/>
      <c r="P145" s="239"/>
      <c r="Q145" s="239"/>
      <c r="R145" s="239"/>
      <c r="S145" s="239"/>
      <c r="T145" s="169"/>
      <c r="U145" s="113"/>
      <c r="V145" s="169"/>
      <c r="W145" s="169"/>
      <c r="X145" s="169"/>
      <c r="Y145" s="169"/>
      <c r="Z145" s="169"/>
      <c r="AA145" s="169"/>
      <c r="AB145" s="169"/>
      <c r="AC145" s="169"/>
      <c r="AD145" s="169"/>
      <c r="AE145" s="169"/>
      <c r="AF145" s="169"/>
      <c r="AG145" s="169"/>
      <c r="AH145" s="169"/>
      <c r="AI145" s="169"/>
      <c r="AS145" s="114"/>
      <c r="AT145" s="114"/>
      <c r="AU145" s="114"/>
      <c r="AV145" s="114"/>
      <c r="AW145" s="114"/>
      <c r="AX145" s="114"/>
      <c r="AY145" s="114"/>
    </row>
    <row r="146" spans="1:51" s="110" customFormat="1" ht="17.25" customHeight="1">
      <c r="A146" s="111"/>
      <c r="B146" s="248"/>
      <c r="C146" s="112"/>
      <c r="D146" s="113"/>
      <c r="E146" s="239"/>
      <c r="F146" s="239"/>
      <c r="G146" s="239"/>
      <c r="H146" s="113"/>
      <c r="I146" s="113"/>
      <c r="J146" s="113"/>
      <c r="K146" s="113"/>
      <c r="L146" s="113"/>
      <c r="M146" s="239"/>
      <c r="N146" s="239"/>
      <c r="O146" s="239"/>
      <c r="P146" s="239"/>
      <c r="Q146" s="239"/>
      <c r="R146" s="239"/>
      <c r="S146" s="239"/>
      <c r="T146" s="169"/>
      <c r="U146" s="113"/>
      <c r="V146" s="169"/>
      <c r="W146" s="169"/>
      <c r="X146" s="169"/>
      <c r="Y146" s="169"/>
      <c r="Z146" s="169"/>
      <c r="AA146" s="169"/>
      <c r="AB146" s="169"/>
      <c r="AC146" s="169"/>
      <c r="AD146" s="169"/>
      <c r="AE146" s="169"/>
      <c r="AF146" s="169"/>
      <c r="AG146" s="169"/>
      <c r="AH146" s="169"/>
      <c r="AI146" s="169"/>
      <c r="AS146" s="114"/>
      <c r="AT146" s="114"/>
      <c r="AU146" s="114"/>
      <c r="AV146" s="114"/>
      <c r="AW146" s="114"/>
      <c r="AX146" s="114"/>
      <c r="AY146" s="114"/>
    </row>
    <row r="147" spans="1:51" s="110" customFormat="1" ht="17.25" customHeight="1">
      <c r="A147" s="111"/>
      <c r="B147" s="248"/>
      <c r="C147" s="112"/>
      <c r="D147" s="113"/>
      <c r="E147" s="239"/>
      <c r="F147" s="239"/>
      <c r="G147" s="239"/>
      <c r="H147" s="113"/>
      <c r="I147" s="113"/>
      <c r="J147" s="113"/>
      <c r="K147" s="113"/>
      <c r="L147" s="113"/>
      <c r="M147" s="239"/>
      <c r="N147" s="239"/>
      <c r="O147" s="239"/>
      <c r="P147" s="239"/>
      <c r="Q147" s="239"/>
      <c r="R147" s="239"/>
      <c r="S147" s="239"/>
      <c r="T147" s="169"/>
      <c r="U147" s="113"/>
      <c r="V147" s="169"/>
      <c r="W147" s="169"/>
      <c r="X147" s="169"/>
      <c r="Y147" s="169"/>
      <c r="Z147" s="169"/>
      <c r="AA147" s="169"/>
      <c r="AB147" s="169"/>
      <c r="AC147" s="169"/>
      <c r="AD147" s="169"/>
      <c r="AE147" s="169"/>
      <c r="AF147" s="169"/>
      <c r="AG147" s="169"/>
      <c r="AH147" s="169"/>
      <c r="AI147" s="169"/>
      <c r="AS147" s="114"/>
      <c r="AT147" s="114"/>
      <c r="AU147" s="114"/>
      <c r="AV147" s="114"/>
      <c r="AW147" s="114"/>
      <c r="AX147" s="114"/>
      <c r="AY147" s="114"/>
    </row>
    <row r="148" spans="1:51" s="110" customFormat="1" ht="17.25" customHeight="1">
      <c r="A148" s="111"/>
      <c r="B148" s="248"/>
      <c r="C148" s="112"/>
      <c r="D148" s="113"/>
      <c r="E148" s="239"/>
      <c r="F148" s="239"/>
      <c r="G148" s="239"/>
      <c r="H148" s="113"/>
      <c r="I148" s="113"/>
      <c r="J148" s="113"/>
      <c r="K148" s="113"/>
      <c r="L148" s="113"/>
      <c r="M148" s="239"/>
      <c r="N148" s="239"/>
      <c r="O148" s="239"/>
      <c r="P148" s="239"/>
      <c r="Q148" s="239"/>
      <c r="R148" s="239"/>
      <c r="S148" s="239"/>
      <c r="T148" s="169"/>
      <c r="U148" s="113"/>
      <c r="V148" s="169"/>
      <c r="W148" s="169"/>
      <c r="X148" s="169"/>
      <c r="Y148" s="169"/>
      <c r="Z148" s="169"/>
      <c r="AA148" s="169"/>
      <c r="AB148" s="169"/>
      <c r="AC148" s="169"/>
      <c r="AD148" s="169"/>
      <c r="AE148" s="169"/>
      <c r="AF148" s="169"/>
      <c r="AG148" s="169"/>
      <c r="AH148" s="169"/>
      <c r="AI148" s="169"/>
      <c r="AS148" s="114"/>
      <c r="AT148" s="114"/>
      <c r="AU148" s="114"/>
      <c r="AV148" s="114"/>
      <c r="AW148" s="114"/>
      <c r="AX148" s="114"/>
      <c r="AY148" s="114"/>
    </row>
    <row r="149" spans="1:51" s="110" customFormat="1" ht="17.25" customHeight="1">
      <c r="A149" s="111"/>
      <c r="B149" s="248"/>
      <c r="C149" s="112"/>
      <c r="D149" s="113"/>
      <c r="E149" s="239"/>
      <c r="F149" s="239"/>
      <c r="G149" s="239"/>
      <c r="H149" s="113"/>
      <c r="I149" s="113"/>
      <c r="J149" s="113"/>
      <c r="K149" s="113"/>
      <c r="L149" s="113"/>
      <c r="M149" s="239"/>
      <c r="N149" s="239"/>
      <c r="O149" s="239"/>
      <c r="P149" s="239"/>
      <c r="Q149" s="239"/>
      <c r="R149" s="239"/>
      <c r="S149" s="239"/>
      <c r="T149" s="169"/>
      <c r="U149" s="113"/>
      <c r="V149" s="169"/>
      <c r="W149" s="169"/>
      <c r="X149" s="169"/>
      <c r="Y149" s="169"/>
      <c r="Z149" s="169"/>
      <c r="AA149" s="169"/>
      <c r="AB149" s="169"/>
      <c r="AC149" s="169"/>
      <c r="AD149" s="169"/>
      <c r="AE149" s="169"/>
      <c r="AF149" s="169"/>
      <c r="AG149" s="169"/>
      <c r="AH149" s="169"/>
      <c r="AI149" s="169"/>
      <c r="AS149" s="114"/>
      <c r="AT149" s="114"/>
      <c r="AU149" s="114"/>
      <c r="AV149" s="114"/>
      <c r="AW149" s="114"/>
      <c r="AX149" s="114"/>
      <c r="AY149" s="114"/>
    </row>
    <row r="150" spans="1:51" s="110" customFormat="1" ht="17.25" customHeight="1">
      <c r="A150" s="111"/>
      <c r="B150" s="248"/>
      <c r="C150" s="112"/>
      <c r="D150" s="113"/>
      <c r="E150" s="239"/>
      <c r="F150" s="239"/>
      <c r="G150" s="239"/>
      <c r="H150" s="113"/>
      <c r="I150" s="113"/>
      <c r="J150" s="113"/>
      <c r="K150" s="113"/>
      <c r="L150" s="113"/>
      <c r="M150" s="239"/>
      <c r="N150" s="239"/>
      <c r="O150" s="239"/>
      <c r="P150" s="239"/>
      <c r="Q150" s="239"/>
      <c r="R150" s="239"/>
      <c r="S150" s="239"/>
      <c r="T150" s="169"/>
      <c r="U150" s="113"/>
      <c r="V150" s="169"/>
      <c r="W150" s="169"/>
      <c r="X150" s="169"/>
      <c r="Y150" s="169"/>
      <c r="Z150" s="169"/>
      <c r="AA150" s="169"/>
      <c r="AB150" s="169"/>
      <c r="AC150" s="169"/>
      <c r="AD150" s="169"/>
      <c r="AE150" s="169"/>
      <c r="AF150" s="169"/>
      <c r="AG150" s="169"/>
      <c r="AH150" s="169"/>
      <c r="AI150" s="169"/>
      <c r="AS150" s="114"/>
      <c r="AT150" s="114"/>
      <c r="AU150" s="114"/>
      <c r="AV150" s="114"/>
      <c r="AW150" s="114"/>
      <c r="AX150" s="114"/>
      <c r="AY150" s="114"/>
    </row>
    <row r="151" spans="1:51" s="110" customFormat="1" ht="17.25" customHeight="1">
      <c r="A151" s="111"/>
      <c r="B151" s="248"/>
      <c r="C151" s="112"/>
      <c r="D151" s="113"/>
      <c r="E151" s="239"/>
      <c r="F151" s="239"/>
      <c r="G151" s="239"/>
      <c r="H151" s="113"/>
      <c r="I151" s="113"/>
      <c r="J151" s="113"/>
      <c r="K151" s="113"/>
      <c r="L151" s="113"/>
      <c r="M151" s="239"/>
      <c r="N151" s="239"/>
      <c r="O151" s="239"/>
      <c r="P151" s="239"/>
      <c r="Q151" s="239"/>
      <c r="R151" s="239"/>
      <c r="S151" s="239"/>
      <c r="T151" s="169"/>
      <c r="U151" s="113"/>
      <c r="V151" s="169"/>
      <c r="W151" s="169"/>
      <c r="X151" s="169"/>
      <c r="Y151" s="169"/>
      <c r="Z151" s="169"/>
      <c r="AA151" s="169"/>
      <c r="AB151" s="169"/>
      <c r="AC151" s="169"/>
      <c r="AD151" s="169"/>
      <c r="AE151" s="169"/>
      <c r="AF151" s="169"/>
      <c r="AG151" s="169"/>
      <c r="AH151" s="169"/>
      <c r="AI151" s="169"/>
      <c r="AS151" s="114"/>
      <c r="AT151" s="114"/>
      <c r="AU151" s="114"/>
      <c r="AV151" s="114"/>
      <c r="AW151" s="114"/>
      <c r="AX151" s="114"/>
      <c r="AY151" s="114"/>
    </row>
    <row r="152" spans="1:51" s="110" customFormat="1" ht="17.25" customHeight="1">
      <c r="A152" s="111"/>
      <c r="B152" s="248"/>
      <c r="C152" s="112"/>
      <c r="D152" s="113"/>
      <c r="E152" s="239"/>
      <c r="F152" s="239"/>
      <c r="G152" s="239"/>
      <c r="H152" s="113"/>
      <c r="I152" s="113"/>
      <c r="J152" s="113"/>
      <c r="K152" s="113"/>
      <c r="L152" s="113"/>
      <c r="M152" s="239"/>
      <c r="N152" s="239"/>
      <c r="O152" s="239"/>
      <c r="P152" s="239"/>
      <c r="Q152" s="239"/>
      <c r="R152" s="239"/>
      <c r="S152" s="239"/>
      <c r="T152" s="169"/>
      <c r="U152" s="113"/>
      <c r="V152" s="169"/>
      <c r="W152" s="169"/>
      <c r="X152" s="169"/>
      <c r="Y152" s="169"/>
      <c r="Z152" s="169"/>
      <c r="AA152" s="169"/>
      <c r="AB152" s="169"/>
      <c r="AC152" s="169"/>
      <c r="AD152" s="169"/>
      <c r="AE152" s="169"/>
      <c r="AF152" s="169"/>
      <c r="AG152" s="169"/>
      <c r="AH152" s="169"/>
      <c r="AI152" s="169"/>
      <c r="AS152" s="114"/>
      <c r="AT152" s="114"/>
      <c r="AU152" s="114"/>
      <c r="AV152" s="114"/>
      <c r="AW152" s="114"/>
      <c r="AX152" s="114"/>
      <c r="AY152" s="114"/>
    </row>
    <row r="153" spans="1:51" s="110" customFormat="1" ht="17.25" customHeight="1">
      <c r="A153" s="111"/>
      <c r="B153" s="248"/>
      <c r="C153" s="112"/>
      <c r="D153" s="113"/>
      <c r="E153" s="239"/>
      <c r="F153" s="239"/>
      <c r="G153" s="239"/>
      <c r="H153" s="113"/>
      <c r="I153" s="113"/>
      <c r="J153" s="113"/>
      <c r="K153" s="113"/>
      <c r="L153" s="113"/>
      <c r="M153" s="239"/>
      <c r="N153" s="239"/>
      <c r="O153" s="239"/>
      <c r="P153" s="239"/>
      <c r="Q153" s="239"/>
      <c r="R153" s="239"/>
      <c r="S153" s="239"/>
      <c r="T153" s="169"/>
      <c r="U153" s="113"/>
      <c r="V153" s="169"/>
      <c r="W153" s="169"/>
      <c r="X153" s="169"/>
      <c r="Y153" s="169"/>
      <c r="Z153" s="169"/>
      <c r="AA153" s="169"/>
      <c r="AB153" s="169"/>
      <c r="AC153" s="169"/>
      <c r="AD153" s="169"/>
      <c r="AE153" s="169"/>
      <c r="AF153" s="169"/>
      <c r="AG153" s="169"/>
      <c r="AH153" s="169"/>
      <c r="AI153" s="169"/>
      <c r="AS153" s="114"/>
      <c r="AT153" s="114"/>
      <c r="AU153" s="114"/>
      <c r="AV153" s="114"/>
      <c r="AW153" s="114"/>
      <c r="AX153" s="114"/>
      <c r="AY153" s="114"/>
    </row>
    <row r="154" spans="1:51" s="110" customFormat="1" ht="17.25" customHeight="1">
      <c r="A154" s="111"/>
      <c r="B154" s="248"/>
      <c r="C154" s="112"/>
      <c r="D154" s="113"/>
      <c r="E154" s="239"/>
      <c r="F154" s="239"/>
      <c r="G154" s="239"/>
      <c r="H154" s="113"/>
      <c r="I154" s="113"/>
      <c r="J154" s="113"/>
      <c r="K154" s="113"/>
      <c r="L154" s="113"/>
      <c r="M154" s="239"/>
      <c r="N154" s="239"/>
      <c r="O154" s="239"/>
      <c r="P154" s="239"/>
      <c r="Q154" s="239"/>
      <c r="R154" s="239"/>
      <c r="S154" s="239"/>
      <c r="T154" s="169"/>
      <c r="U154" s="113"/>
      <c r="V154" s="169"/>
      <c r="W154" s="169"/>
      <c r="X154" s="169"/>
      <c r="Y154" s="169"/>
      <c r="Z154" s="169"/>
      <c r="AA154" s="169"/>
      <c r="AB154" s="169"/>
      <c r="AC154" s="169"/>
      <c r="AD154" s="169"/>
      <c r="AE154" s="169"/>
      <c r="AF154" s="169"/>
      <c r="AG154" s="169"/>
      <c r="AH154" s="169"/>
      <c r="AI154" s="169"/>
      <c r="AS154" s="114"/>
      <c r="AT154" s="114"/>
      <c r="AU154" s="114"/>
      <c r="AV154" s="114"/>
      <c r="AW154" s="114"/>
      <c r="AX154" s="114"/>
      <c r="AY154" s="114"/>
    </row>
    <row r="155" spans="1:51" s="110" customFormat="1" ht="17.25" customHeight="1">
      <c r="A155" s="111"/>
      <c r="B155" s="248"/>
      <c r="C155" s="112"/>
      <c r="D155" s="113"/>
      <c r="E155" s="239"/>
      <c r="F155" s="239"/>
      <c r="G155" s="239"/>
      <c r="H155" s="113"/>
      <c r="I155" s="113"/>
      <c r="J155" s="113"/>
      <c r="K155" s="113"/>
      <c r="L155" s="113"/>
      <c r="M155" s="239"/>
      <c r="N155" s="239"/>
      <c r="O155" s="239"/>
      <c r="P155" s="239"/>
      <c r="Q155" s="239"/>
      <c r="R155" s="239"/>
      <c r="S155" s="239"/>
      <c r="T155" s="169"/>
      <c r="U155" s="113"/>
      <c r="V155" s="169"/>
      <c r="W155" s="169"/>
      <c r="X155" s="169"/>
      <c r="Y155" s="169"/>
      <c r="Z155" s="169"/>
      <c r="AA155" s="169"/>
      <c r="AB155" s="169"/>
      <c r="AC155" s="169"/>
      <c r="AD155" s="169"/>
      <c r="AE155" s="169"/>
      <c r="AF155" s="169"/>
      <c r="AG155" s="169"/>
      <c r="AH155" s="169"/>
      <c r="AI155" s="169"/>
      <c r="AS155" s="114"/>
      <c r="AT155" s="114"/>
      <c r="AU155" s="114"/>
      <c r="AV155" s="114"/>
      <c r="AW155" s="114"/>
      <c r="AX155" s="114"/>
      <c r="AY155" s="114"/>
    </row>
    <row r="156" spans="1:51" s="110" customFormat="1" ht="17.25" customHeight="1">
      <c r="A156" s="111"/>
      <c r="B156" s="248"/>
      <c r="C156" s="112"/>
      <c r="D156" s="113"/>
      <c r="E156" s="239"/>
      <c r="F156" s="239"/>
      <c r="G156" s="239"/>
      <c r="H156" s="113"/>
      <c r="I156" s="113"/>
      <c r="J156" s="113"/>
      <c r="K156" s="113"/>
      <c r="L156" s="113"/>
      <c r="M156" s="239"/>
      <c r="N156" s="239"/>
      <c r="O156" s="239"/>
      <c r="P156" s="239"/>
      <c r="Q156" s="239"/>
      <c r="R156" s="239"/>
      <c r="S156" s="239"/>
      <c r="T156" s="169"/>
      <c r="U156" s="113"/>
      <c r="V156" s="169"/>
      <c r="W156" s="169"/>
      <c r="X156" s="169"/>
      <c r="Y156" s="169"/>
      <c r="Z156" s="169"/>
      <c r="AA156" s="169"/>
      <c r="AB156" s="169"/>
      <c r="AC156" s="169"/>
      <c r="AD156" s="169"/>
      <c r="AE156" s="169"/>
      <c r="AF156" s="169"/>
      <c r="AG156" s="169"/>
      <c r="AH156" s="169"/>
      <c r="AI156" s="169"/>
      <c r="AS156" s="114"/>
      <c r="AT156" s="114"/>
      <c r="AU156" s="114"/>
      <c r="AV156" s="114"/>
      <c r="AW156" s="114"/>
      <c r="AX156" s="114"/>
      <c r="AY156" s="114"/>
    </row>
    <row r="157" spans="1:51" s="110" customFormat="1" ht="17.25" customHeight="1">
      <c r="A157" s="111"/>
      <c r="B157" s="248"/>
      <c r="C157" s="112"/>
      <c r="D157" s="113"/>
      <c r="E157" s="239"/>
      <c r="F157" s="239"/>
      <c r="G157" s="239"/>
      <c r="H157" s="113"/>
      <c r="I157" s="113"/>
      <c r="J157" s="113"/>
      <c r="K157" s="113"/>
      <c r="L157" s="113"/>
      <c r="M157" s="239"/>
      <c r="N157" s="239"/>
      <c r="O157" s="239"/>
      <c r="P157" s="239"/>
      <c r="Q157" s="239"/>
      <c r="R157" s="239"/>
      <c r="S157" s="239"/>
      <c r="T157" s="169"/>
      <c r="U157" s="113"/>
      <c r="V157" s="169"/>
      <c r="W157" s="169"/>
      <c r="X157" s="169"/>
      <c r="Y157" s="169"/>
      <c r="Z157" s="169"/>
      <c r="AA157" s="169"/>
      <c r="AB157" s="169"/>
      <c r="AC157" s="169"/>
      <c r="AD157" s="169"/>
      <c r="AE157" s="169"/>
      <c r="AF157" s="169"/>
      <c r="AG157" s="169"/>
      <c r="AH157" s="169"/>
      <c r="AI157" s="169"/>
      <c r="AS157" s="114"/>
      <c r="AT157" s="114"/>
      <c r="AU157" s="114"/>
      <c r="AV157" s="114"/>
      <c r="AW157" s="114"/>
      <c r="AX157" s="114"/>
      <c r="AY157" s="114"/>
    </row>
    <row r="158" spans="1:51" s="110" customFormat="1" ht="17.25" customHeight="1">
      <c r="A158" s="111"/>
      <c r="B158" s="248"/>
      <c r="C158" s="112"/>
      <c r="D158" s="113"/>
      <c r="E158" s="239"/>
      <c r="F158" s="239"/>
      <c r="G158" s="239"/>
      <c r="H158" s="113"/>
      <c r="I158" s="113"/>
      <c r="J158" s="113"/>
      <c r="K158" s="113"/>
      <c r="L158" s="113"/>
      <c r="M158" s="239"/>
      <c r="N158" s="239"/>
      <c r="O158" s="239"/>
      <c r="P158" s="239"/>
      <c r="Q158" s="239"/>
      <c r="R158" s="239"/>
      <c r="S158" s="239"/>
      <c r="T158" s="169"/>
      <c r="U158" s="113"/>
      <c r="V158" s="169"/>
      <c r="W158" s="169"/>
      <c r="X158" s="169"/>
      <c r="Y158" s="169"/>
      <c r="Z158" s="169"/>
      <c r="AA158" s="169"/>
      <c r="AB158" s="169"/>
      <c r="AC158" s="169"/>
      <c r="AD158" s="169"/>
      <c r="AE158" s="169"/>
      <c r="AF158" s="169"/>
      <c r="AG158" s="169"/>
      <c r="AH158" s="169"/>
      <c r="AI158" s="169"/>
      <c r="AS158" s="114"/>
      <c r="AT158" s="114"/>
      <c r="AU158" s="114"/>
      <c r="AV158" s="114"/>
      <c r="AW158" s="114"/>
      <c r="AX158" s="114"/>
      <c r="AY158" s="114"/>
    </row>
    <row r="159" spans="1:51" s="110" customFormat="1" ht="17.25" customHeight="1">
      <c r="A159" s="111"/>
      <c r="B159" s="248"/>
      <c r="C159" s="112"/>
      <c r="D159" s="113"/>
      <c r="E159" s="239"/>
      <c r="F159" s="239"/>
      <c r="G159" s="239"/>
      <c r="H159" s="113"/>
      <c r="I159" s="113"/>
      <c r="J159" s="113"/>
      <c r="K159" s="113"/>
      <c r="L159" s="113"/>
      <c r="M159" s="239"/>
      <c r="N159" s="239"/>
      <c r="O159" s="239"/>
      <c r="P159" s="239"/>
      <c r="Q159" s="239"/>
      <c r="R159" s="239"/>
      <c r="S159" s="239"/>
      <c r="T159" s="169"/>
      <c r="U159" s="113"/>
      <c r="V159" s="169"/>
      <c r="W159" s="169"/>
      <c r="X159" s="169"/>
      <c r="Y159" s="169"/>
      <c r="Z159" s="169"/>
      <c r="AA159" s="169"/>
      <c r="AB159" s="169"/>
      <c r="AC159" s="169"/>
      <c r="AD159" s="169"/>
      <c r="AE159" s="169"/>
      <c r="AF159" s="169"/>
      <c r="AG159" s="169"/>
      <c r="AH159" s="169"/>
      <c r="AI159" s="169"/>
      <c r="AS159" s="114"/>
      <c r="AT159" s="114"/>
      <c r="AU159" s="114"/>
      <c r="AV159" s="114"/>
      <c r="AW159" s="114"/>
      <c r="AX159" s="114"/>
      <c r="AY159" s="114"/>
    </row>
    <row r="160" spans="1:51" s="110" customFormat="1" ht="17.25" customHeight="1">
      <c r="A160" s="111"/>
      <c r="B160" s="248"/>
      <c r="C160" s="112"/>
      <c r="D160" s="113"/>
      <c r="E160" s="239"/>
      <c r="F160" s="239"/>
      <c r="G160" s="239"/>
      <c r="H160" s="113"/>
      <c r="I160" s="113"/>
      <c r="J160" s="113"/>
      <c r="K160" s="113"/>
      <c r="L160" s="113"/>
      <c r="M160" s="239"/>
      <c r="N160" s="239"/>
      <c r="O160" s="239"/>
      <c r="P160" s="239"/>
      <c r="Q160" s="239"/>
      <c r="R160" s="239"/>
      <c r="S160" s="239"/>
      <c r="T160" s="169"/>
      <c r="U160" s="113"/>
      <c r="V160" s="169"/>
      <c r="W160" s="169"/>
      <c r="X160" s="169"/>
      <c r="Y160" s="169"/>
      <c r="Z160" s="169"/>
      <c r="AA160" s="169"/>
      <c r="AB160" s="169"/>
      <c r="AC160" s="169"/>
      <c r="AD160" s="169"/>
      <c r="AE160" s="169"/>
      <c r="AF160" s="169"/>
      <c r="AG160" s="169"/>
      <c r="AH160" s="169"/>
      <c r="AI160" s="169"/>
      <c r="AS160" s="114"/>
      <c r="AT160" s="114"/>
      <c r="AU160" s="114"/>
      <c r="AV160" s="114"/>
      <c r="AW160" s="114"/>
      <c r="AX160" s="114"/>
      <c r="AY160" s="114"/>
    </row>
    <row r="161" spans="1:51" s="110" customFormat="1" ht="17.25" customHeight="1">
      <c r="A161" s="111"/>
      <c r="B161" s="248"/>
      <c r="C161" s="112"/>
      <c r="D161" s="113"/>
      <c r="E161" s="239"/>
      <c r="F161" s="239"/>
      <c r="G161" s="239"/>
      <c r="H161" s="113"/>
      <c r="I161" s="113"/>
      <c r="J161" s="113"/>
      <c r="K161" s="113"/>
      <c r="L161" s="113"/>
      <c r="M161" s="239"/>
      <c r="N161" s="239"/>
      <c r="O161" s="239"/>
      <c r="P161" s="239"/>
      <c r="Q161" s="239"/>
      <c r="R161" s="239"/>
      <c r="S161" s="239"/>
      <c r="T161" s="169"/>
      <c r="U161" s="113"/>
      <c r="V161" s="169"/>
      <c r="W161" s="169"/>
      <c r="X161" s="169"/>
      <c r="Y161" s="169"/>
      <c r="Z161" s="169"/>
      <c r="AA161" s="169"/>
      <c r="AB161" s="169"/>
      <c r="AC161" s="169"/>
      <c r="AD161" s="169"/>
      <c r="AE161" s="169"/>
      <c r="AF161" s="169"/>
      <c r="AG161" s="169"/>
      <c r="AH161" s="169"/>
      <c r="AI161" s="169"/>
      <c r="AS161" s="114"/>
      <c r="AT161" s="114"/>
      <c r="AU161" s="114"/>
      <c r="AV161" s="114"/>
      <c r="AW161" s="114"/>
      <c r="AX161" s="114"/>
      <c r="AY161" s="114"/>
    </row>
    <row r="162" spans="1:51" s="110" customFormat="1" ht="17.25" customHeight="1">
      <c r="A162" s="111"/>
      <c r="B162" s="248"/>
      <c r="C162" s="112"/>
      <c r="D162" s="113"/>
      <c r="E162" s="239"/>
      <c r="F162" s="239"/>
      <c r="G162" s="239"/>
      <c r="H162" s="113"/>
      <c r="I162" s="113"/>
      <c r="J162" s="113"/>
      <c r="K162" s="113"/>
      <c r="L162" s="113"/>
      <c r="M162" s="239"/>
      <c r="N162" s="239"/>
      <c r="O162" s="239"/>
      <c r="P162" s="239"/>
      <c r="Q162" s="239"/>
      <c r="R162" s="239"/>
      <c r="S162" s="239"/>
      <c r="T162" s="169"/>
      <c r="U162" s="113"/>
      <c r="V162" s="169"/>
      <c r="W162" s="169"/>
      <c r="X162" s="169"/>
      <c r="Y162" s="169"/>
      <c r="Z162" s="169"/>
      <c r="AA162" s="169"/>
      <c r="AB162" s="169"/>
      <c r="AC162" s="169"/>
      <c r="AD162" s="169"/>
      <c r="AE162" s="169"/>
      <c r="AF162" s="169"/>
      <c r="AG162" s="169"/>
      <c r="AH162" s="169"/>
      <c r="AI162" s="169"/>
      <c r="AS162" s="114"/>
      <c r="AT162" s="114"/>
      <c r="AU162" s="114"/>
      <c r="AV162" s="114"/>
      <c r="AW162" s="114"/>
      <c r="AX162" s="114"/>
      <c r="AY162" s="114"/>
    </row>
    <row r="163" spans="1:51" s="110" customFormat="1" ht="17.25" customHeight="1">
      <c r="A163" s="111"/>
      <c r="B163" s="248"/>
      <c r="C163" s="112"/>
      <c r="D163" s="113"/>
      <c r="E163" s="239"/>
      <c r="F163" s="239"/>
      <c r="G163" s="239"/>
      <c r="H163" s="113"/>
      <c r="I163" s="113"/>
      <c r="J163" s="113"/>
      <c r="K163" s="113"/>
      <c r="L163" s="113"/>
      <c r="M163" s="239"/>
      <c r="N163" s="239"/>
      <c r="O163" s="239"/>
      <c r="P163" s="239"/>
      <c r="Q163" s="239"/>
      <c r="R163" s="239"/>
      <c r="S163" s="239"/>
      <c r="T163" s="169"/>
      <c r="U163" s="113"/>
      <c r="V163" s="169"/>
      <c r="W163" s="169"/>
      <c r="X163" s="169"/>
      <c r="Y163" s="169"/>
      <c r="Z163" s="169"/>
      <c r="AA163" s="169"/>
      <c r="AB163" s="169"/>
      <c r="AC163" s="169"/>
      <c r="AD163" s="169"/>
      <c r="AE163" s="169"/>
      <c r="AF163" s="169"/>
      <c r="AG163" s="169"/>
      <c r="AH163" s="169"/>
      <c r="AI163" s="169"/>
      <c r="AS163" s="114"/>
      <c r="AT163" s="114"/>
      <c r="AU163" s="114"/>
      <c r="AV163" s="114"/>
      <c r="AW163" s="114"/>
      <c r="AX163" s="114"/>
      <c r="AY163" s="114"/>
    </row>
    <row r="164" spans="1:51" s="110" customFormat="1" ht="17.25" customHeight="1">
      <c r="A164" s="111"/>
      <c r="B164" s="248"/>
      <c r="C164" s="112"/>
      <c r="D164" s="113"/>
      <c r="E164" s="239"/>
      <c r="F164" s="239"/>
      <c r="G164" s="239"/>
      <c r="H164" s="113"/>
      <c r="I164" s="113"/>
      <c r="J164" s="113"/>
      <c r="K164" s="113"/>
      <c r="L164" s="113"/>
      <c r="M164" s="239"/>
      <c r="N164" s="239"/>
      <c r="O164" s="239"/>
      <c r="P164" s="239"/>
      <c r="Q164" s="239"/>
      <c r="R164" s="239"/>
      <c r="S164" s="239"/>
      <c r="T164" s="169"/>
      <c r="U164" s="113"/>
      <c r="V164" s="169"/>
      <c r="W164" s="169"/>
      <c r="X164" s="169"/>
      <c r="Y164" s="169"/>
      <c r="Z164" s="169"/>
      <c r="AA164" s="169"/>
      <c r="AB164" s="169"/>
      <c r="AC164" s="169"/>
      <c r="AD164" s="169"/>
      <c r="AE164" s="169"/>
      <c r="AF164" s="169"/>
      <c r="AG164" s="169"/>
      <c r="AH164" s="169"/>
      <c r="AI164" s="169"/>
      <c r="AS164" s="114"/>
      <c r="AT164" s="114"/>
      <c r="AU164" s="114"/>
      <c r="AV164" s="114"/>
      <c r="AW164" s="114"/>
      <c r="AX164" s="114"/>
      <c r="AY164" s="114"/>
    </row>
    <row r="165" spans="1:51" s="110" customFormat="1" ht="17.25" customHeight="1">
      <c r="A165" s="111"/>
      <c r="B165" s="248"/>
      <c r="C165" s="112"/>
      <c r="D165" s="113"/>
      <c r="E165" s="239"/>
      <c r="F165" s="239"/>
      <c r="G165" s="239"/>
      <c r="H165" s="113"/>
      <c r="I165" s="113"/>
      <c r="J165" s="113"/>
      <c r="K165" s="113"/>
      <c r="L165" s="113"/>
      <c r="M165" s="239"/>
      <c r="N165" s="239"/>
      <c r="O165" s="239"/>
      <c r="P165" s="239"/>
      <c r="Q165" s="239"/>
      <c r="R165" s="239"/>
      <c r="S165" s="239"/>
      <c r="T165" s="169"/>
      <c r="U165" s="113"/>
      <c r="V165" s="169"/>
      <c r="W165" s="169"/>
      <c r="X165" s="169"/>
      <c r="Y165" s="169"/>
      <c r="Z165" s="169"/>
      <c r="AA165" s="169"/>
      <c r="AB165" s="169"/>
      <c r="AC165" s="169"/>
      <c r="AD165" s="169"/>
      <c r="AE165" s="169"/>
      <c r="AF165" s="169"/>
      <c r="AG165" s="169"/>
      <c r="AH165" s="169"/>
      <c r="AI165" s="169"/>
      <c r="AS165" s="114"/>
      <c r="AT165" s="114"/>
      <c r="AU165" s="114"/>
      <c r="AV165" s="114"/>
      <c r="AW165" s="114"/>
      <c r="AX165" s="114"/>
      <c r="AY165" s="114"/>
    </row>
    <row r="166" spans="1:51" s="110" customFormat="1" ht="17.25" customHeight="1">
      <c r="A166" s="111"/>
      <c r="B166" s="248"/>
      <c r="C166" s="112"/>
      <c r="D166" s="113"/>
      <c r="E166" s="239"/>
      <c r="F166" s="239"/>
      <c r="G166" s="239"/>
      <c r="H166" s="113"/>
      <c r="I166" s="113"/>
      <c r="J166" s="113"/>
      <c r="K166" s="113"/>
      <c r="L166" s="113"/>
      <c r="M166" s="239"/>
      <c r="N166" s="239"/>
      <c r="O166" s="239"/>
      <c r="P166" s="239"/>
      <c r="Q166" s="239"/>
      <c r="R166" s="239"/>
      <c r="S166" s="239"/>
      <c r="T166" s="169"/>
      <c r="U166" s="113"/>
      <c r="V166" s="169"/>
      <c r="W166" s="169"/>
      <c r="X166" s="169"/>
      <c r="Y166" s="169"/>
      <c r="Z166" s="169"/>
      <c r="AA166" s="169"/>
      <c r="AB166" s="169"/>
      <c r="AC166" s="169"/>
      <c r="AD166" s="169"/>
      <c r="AE166" s="169"/>
      <c r="AF166" s="169"/>
      <c r="AG166" s="169"/>
      <c r="AH166" s="169"/>
      <c r="AI166" s="169"/>
      <c r="AS166" s="114"/>
      <c r="AT166" s="114"/>
      <c r="AU166" s="114"/>
      <c r="AV166" s="114"/>
      <c r="AW166" s="114"/>
      <c r="AX166" s="114"/>
      <c r="AY166" s="114"/>
    </row>
    <row r="167" spans="1:51" s="110" customFormat="1">
      <c r="A167" s="111"/>
      <c r="B167" s="248"/>
      <c r="C167" s="112"/>
      <c r="D167" s="113"/>
      <c r="E167" s="239"/>
      <c r="F167" s="239"/>
      <c r="G167" s="239"/>
      <c r="H167" s="113"/>
      <c r="I167" s="113"/>
      <c r="J167" s="113"/>
      <c r="K167" s="113"/>
      <c r="L167" s="113"/>
      <c r="M167" s="239"/>
      <c r="N167" s="239"/>
      <c r="O167" s="239"/>
      <c r="P167" s="239"/>
      <c r="Q167" s="239"/>
      <c r="R167" s="239"/>
      <c r="S167" s="239"/>
      <c r="T167" s="169"/>
      <c r="U167" s="113"/>
      <c r="V167" s="169"/>
      <c r="W167" s="247"/>
      <c r="X167" s="169"/>
      <c r="Y167" s="169"/>
      <c r="Z167" s="169"/>
      <c r="AA167" s="169"/>
      <c r="AB167" s="247"/>
      <c r="AC167" s="247"/>
      <c r="AD167" s="247"/>
      <c r="AE167" s="247"/>
      <c r="AF167" s="247"/>
      <c r="AG167" s="247"/>
      <c r="AH167" s="247"/>
      <c r="AI167" s="247"/>
      <c r="AS167" s="114"/>
      <c r="AT167" s="114"/>
      <c r="AU167" s="114"/>
      <c r="AV167" s="114"/>
      <c r="AW167" s="114"/>
      <c r="AX167" s="114"/>
      <c r="AY167" s="114"/>
    </row>
    <row r="168" spans="1:51" customFormat="1" ht="27.95" customHeight="1">
      <c r="E168" s="1"/>
      <c r="F168" s="1"/>
      <c r="G168" s="1"/>
      <c r="T168" s="52"/>
      <c r="V168" s="52"/>
      <c r="W168" s="52"/>
      <c r="X168" s="52"/>
      <c r="Y168" s="52"/>
      <c r="Z168" s="52"/>
      <c r="AA168" s="52"/>
      <c r="AB168" s="52"/>
      <c r="AC168" s="52"/>
      <c r="AD168" s="52"/>
      <c r="AE168" s="52"/>
      <c r="AF168" s="52"/>
      <c r="AG168" s="52"/>
      <c r="AH168" s="52"/>
      <c r="AI168" s="52"/>
      <c r="AS168" s="14"/>
      <c r="AT168" s="14"/>
      <c r="AU168" s="14"/>
      <c r="AV168" s="14"/>
      <c r="AW168" s="14"/>
      <c r="AX168" s="14"/>
      <c r="AY168" s="14"/>
    </row>
    <row r="169" spans="1:51" customFormat="1">
      <c r="E169" s="1"/>
      <c r="F169" s="1"/>
      <c r="G169" s="1"/>
      <c r="T169" s="52"/>
      <c r="V169" s="52"/>
      <c r="W169" s="52"/>
      <c r="X169" s="52"/>
      <c r="Y169" s="52"/>
      <c r="Z169" s="52"/>
      <c r="AA169" s="52"/>
      <c r="AB169" s="52"/>
      <c r="AC169" s="52"/>
      <c r="AD169" s="52"/>
      <c r="AE169" s="52"/>
      <c r="AF169" s="52"/>
      <c r="AG169" s="52"/>
      <c r="AH169" s="52"/>
      <c r="AI169" s="52"/>
      <c r="AS169" s="14"/>
      <c r="AT169" s="14"/>
      <c r="AU169" s="14"/>
      <c r="AV169" s="14"/>
      <c r="AW169" s="14"/>
      <c r="AX169" s="14"/>
      <c r="AY169" s="14"/>
    </row>
    <row r="170" spans="1:51" customFormat="1">
      <c r="E170" s="1"/>
      <c r="F170" s="1"/>
      <c r="G170" s="1"/>
      <c r="T170" s="52"/>
      <c r="V170" s="52"/>
      <c r="W170" s="52"/>
      <c r="X170" s="52"/>
      <c r="Y170" s="52"/>
      <c r="Z170" s="52"/>
      <c r="AA170" s="52"/>
      <c r="AB170" s="52"/>
      <c r="AC170" s="52"/>
      <c r="AD170" s="52"/>
      <c r="AE170" s="52"/>
      <c r="AF170" s="52"/>
      <c r="AG170" s="52"/>
      <c r="AH170" s="52"/>
      <c r="AI170" s="52"/>
      <c r="AS170" s="14"/>
      <c r="AT170" s="14"/>
      <c r="AU170" s="14"/>
      <c r="AV170" s="14"/>
      <c r="AW170" s="14"/>
      <c r="AX170" s="14"/>
      <c r="AY170" s="14"/>
    </row>
    <row r="171" spans="1:51" customFormat="1">
      <c r="E171" s="1"/>
      <c r="F171" s="1"/>
      <c r="G171" s="1"/>
      <c r="T171" s="52"/>
      <c r="V171" s="52"/>
      <c r="W171" s="52"/>
      <c r="X171" s="52"/>
      <c r="Y171" s="52"/>
      <c r="Z171" s="52"/>
      <c r="AA171" s="52"/>
      <c r="AB171" s="52"/>
      <c r="AC171" s="52"/>
      <c r="AD171" s="52"/>
      <c r="AE171" s="52"/>
      <c r="AF171" s="52"/>
      <c r="AG171" s="52"/>
      <c r="AH171" s="52"/>
      <c r="AI171" s="52"/>
      <c r="AS171" s="14"/>
      <c r="AT171" s="14"/>
      <c r="AU171" s="14"/>
      <c r="AV171" s="14"/>
      <c r="AW171" s="14"/>
      <c r="AX171" s="14"/>
      <c r="AY171" s="14"/>
    </row>
    <row r="172" spans="1:51" customFormat="1">
      <c r="E172" s="1"/>
      <c r="F172" s="1"/>
      <c r="G172" s="1"/>
      <c r="T172" s="52"/>
      <c r="V172" s="52"/>
      <c r="W172" s="52"/>
      <c r="X172" s="52"/>
      <c r="Y172" s="52"/>
      <c r="Z172" s="52"/>
      <c r="AA172" s="52"/>
      <c r="AB172" s="52"/>
      <c r="AC172" s="52"/>
      <c r="AD172" s="52"/>
      <c r="AE172" s="52"/>
      <c r="AF172" s="52"/>
      <c r="AG172" s="52"/>
      <c r="AH172" s="52"/>
      <c r="AI172" s="52"/>
      <c r="AS172" s="14"/>
      <c r="AT172" s="14"/>
      <c r="AU172" s="14"/>
      <c r="AV172" s="14"/>
      <c r="AW172" s="14"/>
      <c r="AX172" s="14"/>
      <c r="AY172" s="14"/>
    </row>
    <row r="173" spans="1:51" customFormat="1">
      <c r="E173" s="1"/>
      <c r="F173" s="1"/>
      <c r="G173" s="1"/>
      <c r="T173" s="52"/>
      <c r="V173" s="52"/>
      <c r="W173" s="52"/>
      <c r="X173" s="52"/>
      <c r="Y173" s="52"/>
      <c r="Z173" s="52"/>
      <c r="AA173" s="52"/>
      <c r="AB173" s="52"/>
      <c r="AC173" s="52"/>
      <c r="AD173" s="52"/>
      <c r="AE173" s="52"/>
      <c r="AF173" s="52"/>
      <c r="AG173" s="52"/>
      <c r="AH173" s="52"/>
      <c r="AI173" s="52"/>
      <c r="AS173" s="14"/>
      <c r="AT173" s="14"/>
      <c r="AU173" s="14"/>
      <c r="AV173" s="14"/>
      <c r="AW173" s="14"/>
      <c r="AX173" s="14"/>
      <c r="AY173" s="14"/>
    </row>
    <row r="174" spans="1:51" customFormat="1">
      <c r="E174" s="1"/>
      <c r="F174" s="1"/>
      <c r="G174" s="1"/>
      <c r="T174" s="52"/>
      <c r="V174" s="52"/>
      <c r="W174" s="52"/>
      <c r="X174" s="52"/>
      <c r="Y174" s="52"/>
      <c r="Z174" s="52"/>
      <c r="AA174" s="52"/>
      <c r="AB174" s="52"/>
      <c r="AC174" s="52"/>
      <c r="AD174" s="52"/>
      <c r="AE174" s="52"/>
      <c r="AF174" s="52"/>
      <c r="AG174" s="52"/>
      <c r="AH174" s="52"/>
      <c r="AI174" s="52"/>
      <c r="AS174" s="14"/>
      <c r="AT174" s="14"/>
      <c r="AU174" s="14"/>
      <c r="AV174" s="14"/>
      <c r="AW174" s="14"/>
      <c r="AX174" s="14"/>
      <c r="AY174" s="14"/>
    </row>
    <row r="175" spans="1:51" customFormat="1">
      <c r="E175" s="1"/>
      <c r="F175" s="1"/>
      <c r="G175" s="1"/>
      <c r="T175" s="52"/>
      <c r="V175" s="52"/>
      <c r="W175" s="52"/>
      <c r="X175" s="52"/>
      <c r="Y175" s="52"/>
      <c r="Z175" s="52"/>
      <c r="AA175" s="52"/>
      <c r="AB175" s="52"/>
      <c r="AC175" s="52"/>
      <c r="AD175" s="52"/>
      <c r="AE175" s="52"/>
      <c r="AF175" s="52"/>
      <c r="AG175" s="52"/>
      <c r="AH175" s="52"/>
      <c r="AI175" s="52"/>
      <c r="AS175" s="14"/>
      <c r="AT175" s="14"/>
      <c r="AU175" s="14"/>
      <c r="AV175" s="14"/>
      <c r="AW175" s="14"/>
      <c r="AX175" s="14"/>
      <c r="AY175" s="14"/>
    </row>
    <row r="176" spans="1:51" customFormat="1">
      <c r="E176" s="1"/>
      <c r="F176" s="1"/>
      <c r="G176" s="1"/>
      <c r="T176" s="52"/>
      <c r="V176" s="52"/>
      <c r="W176" s="52"/>
      <c r="X176" s="52"/>
      <c r="Y176" s="52"/>
      <c r="Z176" s="52"/>
      <c r="AA176" s="52"/>
      <c r="AB176" s="52"/>
      <c r="AC176" s="52"/>
      <c r="AD176" s="52"/>
      <c r="AE176" s="52"/>
      <c r="AF176" s="52"/>
      <c r="AG176" s="52"/>
      <c r="AH176" s="52"/>
      <c r="AI176" s="52"/>
      <c r="AS176" s="14"/>
      <c r="AT176" s="14"/>
      <c r="AU176" s="14"/>
      <c r="AV176" s="14"/>
      <c r="AW176" s="14"/>
      <c r="AX176" s="14"/>
      <c r="AY176" s="14"/>
    </row>
    <row r="177" spans="5:51" customFormat="1">
      <c r="E177" s="1"/>
      <c r="F177" s="1"/>
      <c r="G177" s="1"/>
      <c r="T177" s="52"/>
      <c r="V177" s="52"/>
      <c r="W177" s="52"/>
      <c r="X177" s="52"/>
      <c r="Y177" s="52"/>
      <c r="Z177" s="52"/>
      <c r="AA177" s="52"/>
      <c r="AB177" s="52"/>
      <c r="AC177" s="52"/>
      <c r="AD177" s="52"/>
      <c r="AE177" s="52"/>
      <c r="AF177" s="52"/>
      <c r="AG177" s="52"/>
      <c r="AH177" s="52"/>
      <c r="AI177" s="52"/>
      <c r="AS177" s="14"/>
      <c r="AT177" s="14"/>
      <c r="AU177" s="14"/>
      <c r="AV177" s="14"/>
      <c r="AW177" s="14"/>
      <c r="AX177" s="14"/>
      <c r="AY177" s="14"/>
    </row>
    <row r="178" spans="5:51" customFormat="1">
      <c r="E178" s="1"/>
      <c r="F178" s="1"/>
      <c r="G178" s="1"/>
      <c r="T178" s="52"/>
      <c r="V178" s="52"/>
      <c r="W178" s="52"/>
      <c r="X178" s="52"/>
      <c r="Y178" s="52"/>
      <c r="Z178" s="52"/>
      <c r="AA178" s="52"/>
      <c r="AB178" s="52"/>
      <c r="AC178" s="52"/>
      <c r="AD178" s="52"/>
      <c r="AE178" s="52"/>
      <c r="AF178" s="52"/>
      <c r="AG178" s="52"/>
      <c r="AH178" s="52"/>
      <c r="AI178" s="52"/>
      <c r="AS178" s="14"/>
      <c r="AT178" s="14"/>
      <c r="AU178" s="14"/>
      <c r="AV178" s="14"/>
      <c r="AW178" s="14"/>
      <c r="AX178" s="14"/>
      <c r="AY178" s="14"/>
    </row>
    <row r="179" spans="5:51" customFormat="1">
      <c r="E179" s="1"/>
      <c r="F179" s="1"/>
      <c r="G179" s="1"/>
      <c r="T179" s="52"/>
      <c r="V179" s="52"/>
      <c r="W179" s="52"/>
      <c r="X179" s="52"/>
      <c r="Y179" s="52"/>
      <c r="Z179" s="52"/>
      <c r="AA179" s="52"/>
      <c r="AB179" s="52"/>
      <c r="AC179" s="52"/>
      <c r="AD179" s="52"/>
      <c r="AE179" s="52"/>
      <c r="AF179" s="52"/>
      <c r="AG179" s="52"/>
      <c r="AH179" s="52"/>
      <c r="AI179" s="52"/>
      <c r="AS179" s="14"/>
      <c r="AT179" s="14"/>
      <c r="AU179" s="14"/>
      <c r="AV179" s="14"/>
      <c r="AW179" s="14"/>
      <c r="AX179" s="14"/>
      <c r="AY179" s="14"/>
    </row>
    <row r="180" spans="5:51" customFormat="1">
      <c r="E180" s="1"/>
      <c r="F180" s="1"/>
      <c r="G180" s="1"/>
      <c r="T180" s="52"/>
      <c r="V180" s="52"/>
      <c r="W180" s="52"/>
      <c r="X180" s="52"/>
      <c r="Y180" s="52"/>
      <c r="Z180" s="52"/>
      <c r="AA180" s="52"/>
      <c r="AB180" s="52"/>
      <c r="AC180" s="52"/>
      <c r="AD180" s="52"/>
      <c r="AE180" s="52"/>
      <c r="AF180" s="52"/>
      <c r="AG180" s="52"/>
      <c r="AH180" s="52"/>
      <c r="AI180" s="52"/>
      <c r="AS180" s="14"/>
      <c r="AT180" s="14"/>
      <c r="AU180" s="14"/>
      <c r="AV180" s="14"/>
      <c r="AW180" s="14"/>
      <c r="AX180" s="14"/>
      <c r="AY180" s="14"/>
    </row>
    <row r="181" spans="5:51" customFormat="1">
      <c r="E181" s="1"/>
      <c r="F181" s="1"/>
      <c r="G181" s="1"/>
      <c r="T181" s="52"/>
      <c r="V181" s="52"/>
      <c r="W181" s="52"/>
      <c r="X181" s="52"/>
      <c r="Y181" s="52"/>
      <c r="Z181" s="52"/>
      <c r="AA181" s="52"/>
      <c r="AB181" s="52"/>
      <c r="AC181" s="52"/>
      <c r="AD181" s="52"/>
      <c r="AE181" s="52"/>
      <c r="AF181" s="52"/>
      <c r="AG181" s="52"/>
      <c r="AH181" s="52"/>
      <c r="AI181" s="52"/>
      <c r="AS181" s="14"/>
      <c r="AT181" s="14"/>
      <c r="AU181" s="14"/>
      <c r="AV181" s="14"/>
      <c r="AW181" s="14"/>
      <c r="AX181" s="14"/>
      <c r="AY181" s="14"/>
    </row>
    <row r="182" spans="5:51" customFormat="1">
      <c r="E182" s="1"/>
      <c r="F182" s="1"/>
      <c r="G182" s="1"/>
      <c r="T182" s="52"/>
      <c r="V182" s="52"/>
      <c r="W182" s="52"/>
      <c r="X182" s="52"/>
      <c r="Y182" s="52"/>
      <c r="Z182" s="52"/>
      <c r="AA182" s="52"/>
      <c r="AB182" s="52"/>
      <c r="AC182" s="52"/>
      <c r="AD182" s="52"/>
      <c r="AE182" s="52"/>
      <c r="AF182" s="52"/>
      <c r="AG182" s="52"/>
      <c r="AH182" s="52"/>
      <c r="AI182" s="52"/>
      <c r="AS182" s="14"/>
      <c r="AT182" s="14"/>
      <c r="AU182" s="14"/>
      <c r="AV182" s="14"/>
      <c r="AW182" s="14"/>
      <c r="AX182" s="14"/>
      <c r="AY182" s="14"/>
    </row>
    <row r="183" spans="5:51" customFormat="1">
      <c r="E183" s="1"/>
      <c r="F183" s="1"/>
      <c r="G183" s="1"/>
      <c r="T183" s="52"/>
      <c r="V183" s="52"/>
      <c r="W183" s="52"/>
      <c r="X183" s="52"/>
      <c r="Y183" s="52"/>
      <c r="Z183" s="52"/>
      <c r="AA183" s="52"/>
      <c r="AB183" s="52"/>
      <c r="AC183" s="52"/>
      <c r="AD183" s="52"/>
      <c r="AE183" s="52"/>
      <c r="AF183" s="52"/>
      <c r="AG183" s="52"/>
      <c r="AH183" s="52"/>
      <c r="AI183" s="52"/>
      <c r="AS183" s="14"/>
      <c r="AT183" s="14"/>
      <c r="AU183" s="14"/>
      <c r="AV183" s="14"/>
      <c r="AW183" s="14"/>
      <c r="AX183" s="14"/>
      <c r="AY183" s="14"/>
    </row>
    <row r="184" spans="5:51" customFormat="1">
      <c r="E184" s="1"/>
      <c r="F184" s="1"/>
      <c r="G184" s="1"/>
      <c r="T184" s="52"/>
      <c r="V184" s="52"/>
      <c r="W184" s="52"/>
      <c r="X184" s="52"/>
      <c r="Y184" s="52"/>
      <c r="Z184" s="52"/>
      <c r="AA184" s="52"/>
      <c r="AB184" s="52"/>
      <c r="AC184" s="52"/>
      <c r="AD184" s="52"/>
      <c r="AE184" s="52"/>
      <c r="AF184" s="52"/>
      <c r="AG184" s="52"/>
      <c r="AH184" s="52"/>
      <c r="AI184" s="52"/>
      <c r="AS184" s="14"/>
      <c r="AT184" s="14"/>
      <c r="AU184" s="14"/>
      <c r="AV184" s="14"/>
      <c r="AW184" s="14"/>
      <c r="AX184" s="14"/>
      <c r="AY184" s="14"/>
    </row>
    <row r="185" spans="5:51" customFormat="1">
      <c r="E185" s="1"/>
      <c r="F185" s="1"/>
      <c r="G185" s="1"/>
      <c r="T185" s="52"/>
      <c r="V185" s="52"/>
      <c r="W185" s="52"/>
      <c r="X185" s="52"/>
      <c r="Y185" s="52"/>
      <c r="Z185" s="52"/>
      <c r="AA185" s="52"/>
      <c r="AB185" s="52"/>
      <c r="AC185" s="52"/>
      <c r="AD185" s="52"/>
      <c r="AE185" s="52"/>
      <c r="AF185" s="52"/>
      <c r="AG185" s="52"/>
      <c r="AH185" s="52"/>
      <c r="AI185" s="52"/>
      <c r="AS185" s="14"/>
      <c r="AT185" s="14"/>
      <c r="AU185" s="14"/>
      <c r="AV185" s="14"/>
      <c r="AW185" s="14"/>
      <c r="AX185" s="14"/>
      <c r="AY185" s="14"/>
    </row>
    <row r="186" spans="5:51" customFormat="1">
      <c r="E186" s="1"/>
      <c r="F186" s="1"/>
      <c r="G186" s="1"/>
      <c r="T186" s="52"/>
      <c r="V186" s="52"/>
      <c r="W186" s="52"/>
      <c r="X186" s="52"/>
      <c r="Y186" s="52"/>
      <c r="Z186" s="52"/>
      <c r="AA186" s="52"/>
      <c r="AB186" s="52"/>
      <c r="AC186" s="52"/>
      <c r="AD186" s="52"/>
      <c r="AE186" s="52"/>
      <c r="AF186" s="52"/>
      <c r="AG186" s="52"/>
      <c r="AH186" s="52"/>
      <c r="AI186" s="52"/>
      <c r="AS186" s="14"/>
      <c r="AT186" s="14"/>
      <c r="AU186" s="14"/>
      <c r="AV186" s="14"/>
      <c r="AW186" s="14"/>
      <c r="AX186" s="14"/>
      <c r="AY186" s="14"/>
    </row>
    <row r="187" spans="5:51" customFormat="1">
      <c r="E187" s="1"/>
      <c r="F187" s="1"/>
      <c r="G187" s="1"/>
      <c r="T187" s="52"/>
      <c r="V187" s="52"/>
      <c r="W187" s="52"/>
      <c r="X187" s="52"/>
      <c r="Y187" s="52"/>
      <c r="Z187" s="52"/>
      <c r="AA187" s="52"/>
      <c r="AB187" s="52"/>
      <c r="AC187" s="52"/>
      <c r="AD187" s="52"/>
      <c r="AE187" s="52"/>
      <c r="AF187" s="52"/>
      <c r="AG187" s="52"/>
      <c r="AH187" s="52"/>
      <c r="AI187" s="52"/>
      <c r="AS187" s="14"/>
      <c r="AT187" s="14"/>
      <c r="AU187" s="14"/>
      <c r="AV187" s="14"/>
      <c r="AW187" s="14"/>
      <c r="AX187" s="14"/>
      <c r="AY187" s="14"/>
    </row>
    <row r="188" spans="5:51" customFormat="1">
      <c r="E188" s="1"/>
      <c r="F188" s="1"/>
      <c r="G188" s="1"/>
      <c r="T188" s="52"/>
      <c r="V188" s="52"/>
      <c r="W188" s="52"/>
      <c r="X188" s="52"/>
      <c r="Y188" s="52"/>
      <c r="Z188" s="52"/>
      <c r="AA188" s="52"/>
      <c r="AB188" s="52"/>
      <c r="AC188" s="52"/>
      <c r="AD188" s="52"/>
      <c r="AE188" s="52"/>
      <c r="AF188" s="52"/>
      <c r="AG188" s="52"/>
      <c r="AH188" s="52"/>
      <c r="AI188" s="52"/>
      <c r="AS188" s="14"/>
      <c r="AT188" s="14"/>
      <c r="AU188" s="14"/>
      <c r="AV188" s="14"/>
      <c r="AW188" s="14"/>
      <c r="AX188" s="14"/>
      <c r="AY188" s="14"/>
    </row>
    <row r="189" spans="5:51" customFormat="1">
      <c r="E189" s="1"/>
      <c r="F189" s="1"/>
      <c r="G189" s="1"/>
      <c r="T189" s="52"/>
      <c r="V189" s="52"/>
      <c r="W189" s="52"/>
      <c r="X189" s="52"/>
      <c r="Y189" s="52"/>
      <c r="Z189" s="52"/>
      <c r="AA189" s="52"/>
      <c r="AB189" s="52"/>
      <c r="AC189" s="52"/>
      <c r="AD189" s="52"/>
      <c r="AE189" s="52"/>
      <c r="AF189" s="52"/>
      <c r="AG189" s="52"/>
      <c r="AH189" s="52"/>
      <c r="AI189" s="52"/>
      <c r="AS189" s="14"/>
      <c r="AT189" s="14"/>
      <c r="AU189" s="14"/>
      <c r="AV189" s="14"/>
      <c r="AW189" s="14"/>
      <c r="AX189" s="14"/>
      <c r="AY189" s="14"/>
    </row>
    <row r="190" spans="5:51" customFormat="1">
      <c r="E190" s="1"/>
      <c r="F190" s="1"/>
      <c r="G190" s="1"/>
      <c r="T190" s="52"/>
      <c r="V190" s="52"/>
      <c r="W190" s="52"/>
      <c r="X190" s="52"/>
      <c r="Y190" s="52"/>
      <c r="Z190" s="52"/>
      <c r="AA190" s="52"/>
      <c r="AB190" s="52"/>
      <c r="AC190" s="52"/>
      <c r="AD190" s="52"/>
      <c r="AE190" s="52"/>
      <c r="AF190" s="52"/>
      <c r="AG190" s="52"/>
      <c r="AH190" s="52"/>
      <c r="AI190" s="52"/>
      <c r="AS190" s="14"/>
      <c r="AT190" s="14"/>
      <c r="AU190" s="14"/>
      <c r="AV190" s="14"/>
      <c r="AW190" s="14"/>
      <c r="AX190" s="14"/>
      <c r="AY190" s="14"/>
    </row>
    <row r="191" spans="5:51" customFormat="1">
      <c r="E191" s="1"/>
      <c r="F191" s="1"/>
      <c r="G191" s="1"/>
      <c r="T191" s="52"/>
      <c r="V191" s="52"/>
      <c r="W191" s="52"/>
      <c r="X191" s="52"/>
      <c r="Y191" s="52"/>
      <c r="Z191" s="52"/>
      <c r="AA191" s="52"/>
      <c r="AB191" s="52"/>
      <c r="AC191" s="52"/>
      <c r="AD191" s="52"/>
      <c r="AE191" s="52"/>
      <c r="AF191" s="52"/>
      <c r="AG191" s="52"/>
      <c r="AH191" s="52"/>
      <c r="AI191" s="52"/>
      <c r="AS191" s="14"/>
      <c r="AT191" s="14"/>
      <c r="AU191" s="14"/>
      <c r="AV191" s="14"/>
      <c r="AW191" s="14"/>
      <c r="AX191" s="14"/>
      <c r="AY191" s="14"/>
    </row>
    <row r="192" spans="5:51" customFormat="1">
      <c r="E192" s="1"/>
      <c r="F192" s="1"/>
      <c r="G192" s="1"/>
      <c r="T192" s="52"/>
      <c r="V192" s="52"/>
      <c r="W192" s="52"/>
      <c r="X192" s="52"/>
      <c r="Y192" s="52"/>
      <c r="Z192" s="52"/>
      <c r="AA192" s="52"/>
      <c r="AB192" s="52"/>
      <c r="AC192" s="52"/>
      <c r="AD192" s="52"/>
      <c r="AE192" s="52"/>
      <c r="AF192" s="52"/>
      <c r="AG192" s="52"/>
      <c r="AH192" s="52"/>
      <c r="AI192" s="52"/>
      <c r="AS192" s="14"/>
      <c r="AT192" s="14"/>
      <c r="AU192" s="14"/>
      <c r="AV192" s="14"/>
      <c r="AW192" s="14"/>
      <c r="AX192" s="14"/>
      <c r="AY192" s="14"/>
    </row>
    <row r="193" spans="5:51" customFormat="1">
      <c r="E193" s="1"/>
      <c r="F193" s="1"/>
      <c r="G193" s="1"/>
      <c r="T193" s="52"/>
      <c r="V193" s="52"/>
      <c r="W193" s="52"/>
      <c r="X193" s="52"/>
      <c r="Y193" s="52"/>
      <c r="Z193" s="52"/>
      <c r="AA193" s="52"/>
      <c r="AB193" s="52"/>
      <c r="AC193" s="52"/>
      <c r="AD193" s="52"/>
      <c r="AE193" s="52"/>
      <c r="AF193" s="52"/>
      <c r="AG193" s="52"/>
      <c r="AH193" s="52"/>
      <c r="AI193" s="52"/>
      <c r="AS193" s="14"/>
      <c r="AT193" s="14"/>
      <c r="AU193" s="14"/>
      <c r="AV193" s="14"/>
      <c r="AW193" s="14"/>
      <c r="AX193" s="14"/>
      <c r="AY193" s="14"/>
    </row>
    <row r="194" spans="5:51" customFormat="1">
      <c r="E194" s="1"/>
      <c r="F194" s="1"/>
      <c r="G194" s="1"/>
      <c r="T194" s="52"/>
      <c r="V194" s="52"/>
      <c r="W194" s="52"/>
      <c r="X194" s="52"/>
      <c r="Y194" s="52"/>
      <c r="Z194" s="52"/>
      <c r="AA194" s="52"/>
      <c r="AB194" s="52"/>
      <c r="AC194" s="52"/>
      <c r="AD194" s="52"/>
      <c r="AE194" s="52"/>
      <c r="AF194" s="52"/>
      <c r="AG194" s="52"/>
      <c r="AH194" s="52"/>
      <c r="AI194" s="52"/>
      <c r="AS194" s="14"/>
      <c r="AT194" s="14"/>
      <c r="AU194" s="14"/>
      <c r="AV194" s="14"/>
      <c r="AW194" s="14"/>
      <c r="AX194" s="14"/>
      <c r="AY194" s="14"/>
    </row>
    <row r="195" spans="5:51" customFormat="1">
      <c r="E195" s="1"/>
      <c r="F195" s="1"/>
      <c r="G195" s="1"/>
      <c r="T195" s="52"/>
      <c r="V195" s="52"/>
      <c r="W195" s="52"/>
      <c r="X195" s="52"/>
      <c r="Y195" s="52"/>
      <c r="Z195" s="52"/>
      <c r="AA195" s="52"/>
      <c r="AB195" s="52"/>
      <c r="AC195" s="52"/>
      <c r="AD195" s="52"/>
      <c r="AE195" s="52"/>
      <c r="AF195" s="52"/>
      <c r="AG195" s="52"/>
      <c r="AH195" s="52"/>
      <c r="AI195" s="52"/>
      <c r="AS195" s="14"/>
      <c r="AT195" s="14"/>
      <c r="AU195" s="14"/>
      <c r="AV195" s="14"/>
      <c r="AW195" s="14"/>
      <c r="AX195" s="14"/>
      <c r="AY195" s="14"/>
    </row>
    <row r="196" spans="5:51" customFormat="1">
      <c r="E196" s="1"/>
      <c r="F196" s="1"/>
      <c r="G196" s="1"/>
      <c r="T196" s="52"/>
      <c r="V196" s="52"/>
      <c r="W196" s="52"/>
      <c r="X196" s="52"/>
      <c r="Y196" s="52"/>
      <c r="Z196" s="52"/>
      <c r="AA196" s="52"/>
      <c r="AB196" s="52"/>
      <c r="AC196" s="52"/>
      <c r="AD196" s="52"/>
      <c r="AE196" s="52"/>
      <c r="AF196" s="52"/>
      <c r="AG196" s="52"/>
      <c r="AH196" s="52"/>
      <c r="AI196" s="52"/>
      <c r="AS196" s="14"/>
      <c r="AT196" s="14"/>
      <c r="AU196" s="14"/>
      <c r="AV196" s="14"/>
      <c r="AW196" s="14"/>
      <c r="AX196" s="14"/>
      <c r="AY196" s="14"/>
    </row>
    <row r="197" spans="5:51" customFormat="1">
      <c r="E197" s="1"/>
      <c r="F197" s="1"/>
      <c r="G197" s="1"/>
      <c r="T197" s="52"/>
      <c r="V197" s="52"/>
      <c r="W197" s="52"/>
      <c r="X197" s="52"/>
      <c r="Y197" s="52"/>
      <c r="Z197" s="52"/>
      <c r="AA197" s="52"/>
      <c r="AB197" s="52"/>
      <c r="AC197" s="52"/>
      <c r="AD197" s="52"/>
      <c r="AE197" s="52"/>
      <c r="AF197" s="52"/>
      <c r="AG197" s="52"/>
      <c r="AH197" s="52"/>
      <c r="AI197" s="52"/>
      <c r="AS197" s="14"/>
      <c r="AT197" s="14"/>
      <c r="AU197" s="14"/>
      <c r="AV197" s="14"/>
      <c r="AW197" s="14"/>
      <c r="AX197" s="14"/>
      <c r="AY197" s="14"/>
    </row>
    <row r="198" spans="5:51" customFormat="1">
      <c r="E198" s="1"/>
      <c r="F198" s="1"/>
      <c r="G198" s="1"/>
      <c r="T198" s="52"/>
      <c r="V198" s="52"/>
      <c r="W198" s="52"/>
      <c r="X198" s="52"/>
      <c r="Y198" s="52"/>
      <c r="Z198" s="52"/>
      <c r="AA198" s="52"/>
      <c r="AB198" s="52"/>
      <c r="AC198" s="52"/>
      <c r="AD198" s="52"/>
      <c r="AE198" s="52"/>
      <c r="AF198" s="52"/>
      <c r="AG198" s="52"/>
      <c r="AH198" s="52"/>
      <c r="AI198" s="52"/>
      <c r="AS198" s="14"/>
      <c r="AT198" s="14"/>
      <c r="AU198" s="14"/>
      <c r="AV198" s="14"/>
      <c r="AW198" s="14"/>
      <c r="AX198" s="14"/>
      <c r="AY198" s="14"/>
    </row>
    <row r="199" spans="5:51" customFormat="1">
      <c r="E199" s="1"/>
      <c r="F199" s="1"/>
      <c r="G199" s="1"/>
      <c r="T199" s="52"/>
      <c r="V199" s="52"/>
      <c r="W199" s="52"/>
      <c r="X199" s="52"/>
      <c r="Y199" s="52"/>
      <c r="Z199" s="52"/>
      <c r="AA199" s="52"/>
      <c r="AB199" s="52"/>
      <c r="AC199" s="52"/>
      <c r="AD199" s="52"/>
      <c r="AE199" s="52"/>
      <c r="AF199" s="52"/>
      <c r="AG199" s="52"/>
      <c r="AH199" s="52"/>
      <c r="AI199" s="52"/>
      <c r="AS199" s="14"/>
      <c r="AT199" s="14"/>
      <c r="AU199" s="14"/>
      <c r="AV199" s="14"/>
      <c r="AW199" s="14"/>
      <c r="AX199" s="14"/>
      <c r="AY199" s="14"/>
    </row>
    <row r="200" spans="5:51" customFormat="1">
      <c r="E200" s="1"/>
      <c r="F200" s="1"/>
      <c r="G200" s="1"/>
      <c r="T200" s="52"/>
      <c r="V200" s="52"/>
      <c r="W200" s="52"/>
      <c r="X200" s="52"/>
      <c r="Y200" s="52"/>
      <c r="Z200" s="52"/>
      <c r="AA200" s="52"/>
      <c r="AB200" s="52"/>
      <c r="AC200" s="52"/>
      <c r="AD200" s="52"/>
      <c r="AE200" s="52"/>
      <c r="AF200" s="52"/>
      <c r="AG200" s="52"/>
      <c r="AH200" s="52"/>
      <c r="AI200" s="52"/>
      <c r="AS200" s="14"/>
      <c r="AT200" s="14"/>
      <c r="AU200" s="14"/>
      <c r="AV200" s="14"/>
      <c r="AW200" s="14"/>
      <c r="AX200" s="14"/>
      <c r="AY200" s="14"/>
    </row>
    <row r="201" spans="5:51" customFormat="1">
      <c r="E201" s="1"/>
      <c r="F201" s="1"/>
      <c r="G201" s="1"/>
      <c r="T201" s="52"/>
      <c r="V201" s="52"/>
      <c r="W201" s="52"/>
      <c r="X201" s="52"/>
      <c r="Y201" s="52"/>
      <c r="Z201" s="52"/>
      <c r="AA201" s="52"/>
      <c r="AB201" s="52"/>
      <c r="AC201" s="52"/>
      <c r="AD201" s="52"/>
      <c r="AE201" s="52"/>
      <c r="AF201" s="52"/>
      <c r="AG201" s="52"/>
      <c r="AH201" s="52"/>
      <c r="AI201" s="52"/>
      <c r="AS201" s="14"/>
      <c r="AT201" s="14"/>
      <c r="AU201" s="14"/>
      <c r="AV201" s="14"/>
      <c r="AW201" s="14"/>
      <c r="AX201" s="14"/>
      <c r="AY201" s="14"/>
    </row>
    <row r="202" spans="5:51" customFormat="1">
      <c r="E202" s="1"/>
      <c r="F202" s="1"/>
      <c r="G202" s="1"/>
      <c r="T202" s="52"/>
      <c r="V202" s="52"/>
      <c r="W202" s="52"/>
      <c r="X202" s="52"/>
      <c r="Y202" s="52"/>
      <c r="Z202" s="52"/>
      <c r="AA202" s="52"/>
      <c r="AB202" s="52"/>
      <c r="AC202" s="52"/>
      <c r="AD202" s="52"/>
      <c r="AE202" s="52"/>
      <c r="AF202" s="52"/>
      <c r="AG202" s="52"/>
      <c r="AH202" s="52"/>
      <c r="AI202" s="52"/>
      <c r="AS202" s="14"/>
      <c r="AT202" s="14"/>
      <c r="AU202" s="14"/>
      <c r="AV202" s="14"/>
      <c r="AW202" s="14"/>
      <c r="AX202" s="14"/>
      <c r="AY202" s="14"/>
    </row>
    <row r="203" spans="5:51" customFormat="1">
      <c r="E203" s="1"/>
      <c r="F203" s="1"/>
      <c r="G203" s="1"/>
      <c r="T203" s="52"/>
      <c r="V203" s="52"/>
      <c r="W203" s="52"/>
      <c r="X203" s="52"/>
      <c r="Y203" s="52"/>
      <c r="Z203" s="52"/>
      <c r="AA203" s="52"/>
      <c r="AB203" s="52"/>
      <c r="AC203" s="52"/>
      <c r="AD203" s="52"/>
      <c r="AE203" s="52"/>
      <c r="AF203" s="52"/>
      <c r="AG203" s="52"/>
      <c r="AH203" s="52"/>
      <c r="AI203" s="52"/>
      <c r="AS203" s="14"/>
      <c r="AT203" s="14"/>
      <c r="AU203" s="14"/>
      <c r="AV203" s="14"/>
      <c r="AW203" s="14"/>
      <c r="AX203" s="14"/>
      <c r="AY203" s="14"/>
    </row>
    <row r="204" spans="5:51" customFormat="1">
      <c r="E204" s="1"/>
      <c r="F204" s="1"/>
      <c r="G204" s="1"/>
      <c r="T204" s="52"/>
      <c r="V204" s="52"/>
      <c r="W204" s="52"/>
      <c r="X204" s="52"/>
      <c r="Y204" s="52"/>
      <c r="Z204" s="52"/>
      <c r="AA204" s="52"/>
      <c r="AB204" s="52"/>
      <c r="AC204" s="52"/>
      <c r="AD204" s="52"/>
      <c r="AE204" s="52"/>
      <c r="AF204" s="52"/>
      <c r="AG204" s="52"/>
      <c r="AH204" s="52"/>
      <c r="AI204" s="52"/>
      <c r="AS204" s="14"/>
      <c r="AT204" s="14"/>
      <c r="AU204" s="14"/>
      <c r="AV204" s="14"/>
      <c r="AW204" s="14"/>
      <c r="AX204" s="14"/>
      <c r="AY204" s="14"/>
    </row>
    <row r="205" spans="5:51" customFormat="1">
      <c r="E205" s="1"/>
      <c r="F205" s="1"/>
      <c r="G205" s="1"/>
      <c r="T205" s="52"/>
      <c r="V205" s="52"/>
      <c r="W205" s="52"/>
      <c r="X205" s="52"/>
      <c r="Y205" s="52"/>
      <c r="Z205" s="52"/>
      <c r="AA205" s="52"/>
      <c r="AB205" s="52"/>
      <c r="AC205" s="52"/>
      <c r="AD205" s="52"/>
      <c r="AE205" s="52"/>
      <c r="AF205" s="52"/>
      <c r="AG205" s="52"/>
      <c r="AH205" s="52"/>
      <c r="AI205" s="52"/>
      <c r="AS205" s="14"/>
      <c r="AT205" s="14"/>
      <c r="AU205" s="14"/>
      <c r="AV205" s="14"/>
      <c r="AW205" s="14"/>
      <c r="AX205" s="14"/>
      <c r="AY205" s="14"/>
    </row>
    <row r="206" spans="5:51" customFormat="1">
      <c r="E206" s="1"/>
      <c r="F206" s="1"/>
      <c r="G206" s="1"/>
      <c r="T206" s="52"/>
      <c r="V206" s="52"/>
      <c r="W206" s="52"/>
      <c r="X206" s="52"/>
      <c r="Y206" s="52"/>
      <c r="Z206" s="52"/>
      <c r="AA206" s="52"/>
      <c r="AB206" s="52"/>
      <c r="AC206" s="52"/>
      <c r="AD206" s="52"/>
      <c r="AE206" s="52"/>
      <c r="AF206" s="52"/>
      <c r="AG206" s="52"/>
      <c r="AH206" s="52"/>
      <c r="AI206" s="52"/>
      <c r="AS206" s="14"/>
      <c r="AT206" s="14"/>
      <c r="AU206" s="14"/>
      <c r="AV206" s="14"/>
      <c r="AW206" s="14"/>
      <c r="AX206" s="14"/>
      <c r="AY206" s="14"/>
    </row>
    <row r="207" spans="5:51" customFormat="1">
      <c r="E207" s="1"/>
      <c r="F207" s="1"/>
      <c r="G207" s="1"/>
      <c r="T207" s="52"/>
      <c r="V207" s="52"/>
      <c r="W207" s="52"/>
      <c r="X207" s="52"/>
      <c r="Y207" s="52"/>
      <c r="Z207" s="52"/>
      <c r="AA207" s="52"/>
      <c r="AB207" s="52"/>
      <c r="AC207" s="52"/>
      <c r="AD207" s="52"/>
      <c r="AE207" s="52"/>
      <c r="AF207" s="52"/>
      <c r="AG207" s="52"/>
      <c r="AH207" s="52"/>
      <c r="AI207" s="52"/>
      <c r="AS207" s="14"/>
      <c r="AT207" s="14"/>
      <c r="AU207" s="14"/>
      <c r="AV207" s="14"/>
      <c r="AW207" s="14"/>
      <c r="AX207" s="14"/>
      <c r="AY207" s="14"/>
    </row>
    <row r="208" spans="5:51" customFormat="1">
      <c r="E208" s="1"/>
      <c r="F208" s="1"/>
      <c r="G208" s="1"/>
      <c r="T208" s="52"/>
      <c r="V208" s="52"/>
      <c r="W208" s="52"/>
      <c r="X208" s="52"/>
      <c r="Y208" s="52"/>
      <c r="Z208" s="52"/>
      <c r="AA208" s="52"/>
      <c r="AB208" s="52"/>
      <c r="AC208" s="52"/>
      <c r="AD208" s="52"/>
      <c r="AE208" s="52"/>
      <c r="AF208" s="52"/>
      <c r="AG208" s="52"/>
      <c r="AH208" s="52"/>
      <c r="AI208" s="52"/>
      <c r="AS208" s="14"/>
      <c r="AT208" s="14"/>
      <c r="AU208" s="14"/>
      <c r="AV208" s="14"/>
      <c r="AW208" s="14"/>
      <c r="AX208" s="14"/>
      <c r="AY208" s="14"/>
    </row>
    <row r="209" spans="5:51" customFormat="1">
      <c r="E209" s="1"/>
      <c r="F209" s="1"/>
      <c r="G209" s="1"/>
      <c r="T209" s="52"/>
      <c r="V209" s="52"/>
      <c r="W209" s="52"/>
      <c r="X209" s="52"/>
      <c r="Y209" s="52"/>
      <c r="Z209" s="52"/>
      <c r="AA209" s="52"/>
      <c r="AB209" s="52"/>
      <c r="AC209" s="52"/>
      <c r="AD209" s="52"/>
      <c r="AE209" s="52"/>
      <c r="AF209" s="52"/>
      <c r="AG209" s="52"/>
      <c r="AH209" s="52"/>
      <c r="AI209" s="52"/>
      <c r="AS209" s="14"/>
      <c r="AT209" s="14"/>
      <c r="AU209" s="14"/>
      <c r="AV209" s="14"/>
      <c r="AW209" s="14"/>
      <c r="AX209" s="14"/>
      <c r="AY209" s="14"/>
    </row>
    <row r="210" spans="5:51" customFormat="1">
      <c r="E210" s="1"/>
      <c r="F210" s="1"/>
      <c r="G210" s="1"/>
      <c r="T210" s="52"/>
      <c r="V210" s="52"/>
      <c r="W210" s="52"/>
      <c r="X210" s="52"/>
      <c r="Y210" s="52"/>
      <c r="Z210" s="52"/>
      <c r="AA210" s="52"/>
      <c r="AB210" s="52"/>
      <c r="AC210" s="52"/>
      <c r="AD210" s="52"/>
      <c r="AE210" s="52"/>
      <c r="AF210" s="52"/>
      <c r="AG210" s="52"/>
      <c r="AH210" s="52"/>
      <c r="AI210" s="52"/>
      <c r="AS210" s="14"/>
      <c r="AT210" s="14"/>
      <c r="AU210" s="14"/>
      <c r="AV210" s="14"/>
      <c r="AW210" s="14"/>
      <c r="AX210" s="14"/>
      <c r="AY210" s="14"/>
    </row>
    <row r="211" spans="5:51" customFormat="1">
      <c r="E211" s="1"/>
      <c r="F211" s="1"/>
      <c r="G211" s="1"/>
      <c r="T211" s="52"/>
      <c r="V211" s="52"/>
      <c r="W211" s="52"/>
      <c r="X211" s="52"/>
      <c r="Y211" s="52"/>
      <c r="Z211" s="52"/>
      <c r="AA211" s="52"/>
      <c r="AB211" s="52"/>
      <c r="AC211" s="52"/>
      <c r="AD211" s="52"/>
      <c r="AE211" s="52"/>
      <c r="AF211" s="52"/>
      <c r="AG211" s="52"/>
      <c r="AH211" s="52"/>
      <c r="AI211" s="52"/>
      <c r="AS211" s="14"/>
      <c r="AT211" s="14"/>
      <c r="AU211" s="14"/>
      <c r="AV211" s="14"/>
      <c r="AW211" s="14"/>
      <c r="AX211" s="14"/>
      <c r="AY211" s="14"/>
    </row>
    <row r="212" spans="5:51" customFormat="1">
      <c r="E212" s="1"/>
      <c r="F212" s="1"/>
      <c r="G212" s="1"/>
      <c r="T212" s="52"/>
      <c r="V212" s="52"/>
      <c r="W212" s="52"/>
      <c r="X212" s="52"/>
      <c r="Y212" s="52"/>
      <c r="Z212" s="52"/>
      <c r="AA212" s="52"/>
      <c r="AB212" s="52"/>
      <c r="AC212" s="52"/>
      <c r="AD212" s="52"/>
      <c r="AE212" s="52"/>
      <c r="AF212" s="52"/>
      <c r="AG212" s="52"/>
      <c r="AH212" s="52"/>
      <c r="AI212" s="52"/>
      <c r="AS212" s="14"/>
      <c r="AT212" s="14"/>
      <c r="AU212" s="14"/>
      <c r="AV212" s="14"/>
      <c r="AW212" s="14"/>
      <c r="AX212" s="14"/>
      <c r="AY212" s="14"/>
    </row>
    <row r="213" spans="5:51" customFormat="1">
      <c r="E213" s="1"/>
      <c r="F213" s="1"/>
      <c r="G213" s="1"/>
      <c r="T213" s="52"/>
      <c r="V213" s="52"/>
      <c r="W213" s="52"/>
      <c r="X213" s="52"/>
      <c r="Y213" s="52"/>
      <c r="Z213" s="52"/>
      <c r="AA213" s="52"/>
      <c r="AB213" s="52"/>
      <c r="AC213" s="52"/>
      <c r="AD213" s="52"/>
      <c r="AE213" s="52"/>
      <c r="AF213" s="52"/>
      <c r="AG213" s="52"/>
      <c r="AH213" s="52"/>
      <c r="AI213" s="52"/>
      <c r="AS213" s="14"/>
      <c r="AT213" s="14"/>
      <c r="AU213" s="14"/>
      <c r="AV213" s="14"/>
      <c r="AW213" s="14"/>
      <c r="AX213" s="14"/>
      <c r="AY213" s="14"/>
    </row>
    <row r="214" spans="5:51" customFormat="1">
      <c r="E214" s="1"/>
      <c r="F214" s="1"/>
      <c r="G214" s="1"/>
      <c r="T214" s="52"/>
      <c r="V214" s="52"/>
      <c r="W214" s="52"/>
      <c r="X214" s="52"/>
      <c r="Y214" s="52"/>
      <c r="Z214" s="52"/>
      <c r="AA214" s="52"/>
      <c r="AB214" s="52"/>
      <c r="AC214" s="52"/>
      <c r="AD214" s="52"/>
      <c r="AE214" s="52"/>
      <c r="AF214" s="52"/>
      <c r="AG214" s="52"/>
      <c r="AH214" s="52"/>
      <c r="AI214" s="52"/>
      <c r="AS214" s="14"/>
      <c r="AT214" s="14"/>
      <c r="AU214" s="14"/>
      <c r="AV214" s="14"/>
      <c r="AW214" s="14"/>
      <c r="AX214" s="14"/>
      <c r="AY214" s="14"/>
    </row>
    <row r="215" spans="5:51" customFormat="1">
      <c r="E215" s="1"/>
      <c r="F215" s="1"/>
      <c r="G215" s="1"/>
      <c r="T215" s="52"/>
      <c r="V215" s="52"/>
      <c r="W215" s="52"/>
      <c r="X215" s="52"/>
      <c r="Y215" s="52"/>
      <c r="Z215" s="52"/>
      <c r="AA215" s="52"/>
      <c r="AB215" s="52"/>
      <c r="AC215" s="52"/>
      <c r="AD215" s="52"/>
      <c r="AE215" s="52"/>
      <c r="AF215" s="52"/>
      <c r="AG215" s="52"/>
      <c r="AH215" s="52"/>
      <c r="AI215" s="52"/>
      <c r="AS215" s="14"/>
      <c r="AT215" s="14"/>
      <c r="AU215" s="14"/>
      <c r="AV215" s="14"/>
      <c r="AW215" s="14"/>
      <c r="AX215" s="14"/>
      <c r="AY215" s="14"/>
    </row>
    <row r="216" spans="5:51" customFormat="1">
      <c r="E216" s="1"/>
      <c r="F216" s="1"/>
      <c r="G216" s="1"/>
      <c r="T216" s="52"/>
      <c r="V216" s="52"/>
      <c r="W216" s="52"/>
      <c r="X216" s="52"/>
      <c r="Y216" s="52"/>
      <c r="Z216" s="52"/>
      <c r="AA216" s="52"/>
      <c r="AB216" s="52"/>
      <c r="AC216" s="52"/>
      <c r="AD216" s="52"/>
      <c r="AE216" s="52"/>
      <c r="AF216" s="52"/>
      <c r="AG216" s="52"/>
      <c r="AH216" s="52"/>
      <c r="AI216" s="52"/>
      <c r="AS216" s="14"/>
      <c r="AT216" s="14"/>
      <c r="AU216" s="14"/>
      <c r="AV216" s="14"/>
      <c r="AW216" s="14"/>
      <c r="AX216" s="14"/>
      <c r="AY216" s="14"/>
    </row>
    <row r="217" spans="5:51" customFormat="1">
      <c r="E217" s="1"/>
      <c r="F217" s="1"/>
      <c r="G217" s="1"/>
      <c r="T217" s="52"/>
      <c r="V217" s="52"/>
      <c r="W217" s="52"/>
      <c r="X217" s="52"/>
      <c r="Y217" s="52"/>
      <c r="Z217" s="52"/>
      <c r="AA217" s="52"/>
      <c r="AB217" s="52"/>
      <c r="AC217" s="52"/>
      <c r="AD217" s="52"/>
      <c r="AE217" s="52"/>
      <c r="AF217" s="52"/>
      <c r="AG217" s="52"/>
      <c r="AH217" s="52"/>
      <c r="AI217" s="52"/>
      <c r="AS217" s="14"/>
      <c r="AT217" s="14"/>
      <c r="AU217" s="14"/>
      <c r="AV217" s="14"/>
      <c r="AW217" s="14"/>
      <c r="AX217" s="14"/>
      <c r="AY217" s="14"/>
    </row>
    <row r="218" spans="5:51" customFormat="1">
      <c r="E218" s="1"/>
      <c r="F218" s="1"/>
      <c r="G218" s="1"/>
      <c r="T218" s="52"/>
      <c r="V218" s="52"/>
      <c r="W218" s="52"/>
      <c r="X218" s="52"/>
      <c r="Y218" s="52"/>
      <c r="Z218" s="52"/>
      <c r="AA218" s="52"/>
      <c r="AB218" s="52"/>
      <c r="AC218" s="52"/>
      <c r="AD218" s="52"/>
      <c r="AE218" s="52"/>
      <c r="AF218" s="52"/>
      <c r="AG218" s="52"/>
      <c r="AH218" s="52"/>
      <c r="AI218" s="52"/>
      <c r="AS218" s="14"/>
      <c r="AT218" s="14"/>
      <c r="AU218" s="14"/>
      <c r="AV218" s="14"/>
      <c r="AW218" s="14"/>
      <c r="AX218" s="14"/>
      <c r="AY218" s="14"/>
    </row>
    <row r="219" spans="5:51" customFormat="1">
      <c r="E219" s="1"/>
      <c r="F219" s="1"/>
      <c r="G219" s="1"/>
      <c r="T219" s="52"/>
      <c r="V219" s="52"/>
      <c r="W219" s="52"/>
      <c r="X219" s="52"/>
      <c r="Y219" s="52"/>
      <c r="Z219" s="52"/>
      <c r="AA219" s="52"/>
      <c r="AB219" s="52"/>
      <c r="AC219" s="52"/>
      <c r="AD219" s="52"/>
      <c r="AE219" s="52"/>
      <c r="AF219" s="52"/>
      <c r="AG219" s="52"/>
      <c r="AH219" s="52"/>
      <c r="AI219" s="52"/>
      <c r="AS219" s="14"/>
      <c r="AT219" s="14"/>
      <c r="AU219" s="14"/>
      <c r="AV219" s="14"/>
      <c r="AW219" s="14"/>
      <c r="AX219" s="14"/>
      <c r="AY219" s="14"/>
    </row>
    <row r="220" spans="5:51" customFormat="1">
      <c r="E220" s="1"/>
      <c r="F220" s="1"/>
      <c r="G220" s="1"/>
      <c r="T220" s="52"/>
      <c r="V220" s="52"/>
      <c r="W220" s="52"/>
      <c r="X220" s="52"/>
      <c r="Y220" s="52"/>
      <c r="Z220" s="52"/>
      <c r="AA220" s="52"/>
      <c r="AB220" s="52"/>
      <c r="AC220" s="52"/>
      <c r="AD220" s="52"/>
      <c r="AE220" s="52"/>
      <c r="AF220" s="52"/>
      <c r="AG220" s="52"/>
      <c r="AH220" s="52"/>
      <c r="AI220" s="52"/>
      <c r="AS220" s="14"/>
      <c r="AT220" s="14"/>
      <c r="AU220" s="14"/>
      <c r="AV220" s="14"/>
      <c r="AW220" s="14"/>
      <c r="AX220" s="14"/>
      <c r="AY220" s="14"/>
    </row>
    <row r="221" spans="5:51" customFormat="1">
      <c r="E221" s="1"/>
      <c r="F221" s="1"/>
      <c r="G221" s="1"/>
      <c r="T221" s="52"/>
      <c r="V221" s="52"/>
      <c r="W221" s="52"/>
      <c r="X221" s="52"/>
      <c r="Y221" s="52"/>
      <c r="Z221" s="52"/>
      <c r="AA221" s="52"/>
      <c r="AB221" s="52"/>
      <c r="AC221" s="52"/>
      <c r="AD221" s="52"/>
      <c r="AE221" s="52"/>
      <c r="AF221" s="52"/>
      <c r="AG221" s="52"/>
      <c r="AH221" s="52"/>
      <c r="AI221" s="52"/>
      <c r="AS221" s="14"/>
      <c r="AT221" s="14"/>
      <c r="AU221" s="14"/>
      <c r="AV221" s="14"/>
      <c r="AW221" s="14"/>
      <c r="AX221" s="14"/>
      <c r="AY221" s="14"/>
    </row>
    <row r="222" spans="5:51" customFormat="1">
      <c r="E222" s="1"/>
      <c r="F222" s="1"/>
      <c r="G222" s="1"/>
      <c r="T222" s="52"/>
      <c r="V222" s="52"/>
      <c r="W222" s="52"/>
      <c r="X222" s="52"/>
      <c r="Y222" s="52"/>
      <c r="Z222" s="52"/>
      <c r="AA222" s="52"/>
      <c r="AB222" s="52"/>
      <c r="AC222" s="52"/>
      <c r="AD222" s="52"/>
      <c r="AE222" s="52"/>
      <c r="AF222" s="52"/>
      <c r="AG222" s="52"/>
      <c r="AH222" s="52"/>
      <c r="AI222" s="52"/>
      <c r="AS222" s="14"/>
      <c r="AT222" s="14"/>
      <c r="AU222" s="14"/>
      <c r="AV222" s="14"/>
      <c r="AW222" s="14"/>
      <c r="AX222" s="14"/>
      <c r="AY222" s="14"/>
    </row>
    <row r="223" spans="5:51" customFormat="1">
      <c r="E223" s="1"/>
      <c r="F223" s="1"/>
      <c r="G223" s="1"/>
      <c r="T223" s="52"/>
      <c r="V223" s="52"/>
      <c r="W223" s="52"/>
      <c r="X223" s="52"/>
      <c r="Y223" s="52"/>
      <c r="Z223" s="52"/>
      <c r="AA223" s="52"/>
      <c r="AB223" s="52"/>
      <c r="AC223" s="52"/>
      <c r="AD223" s="52"/>
      <c r="AE223" s="52"/>
      <c r="AF223" s="52"/>
      <c r="AG223" s="52"/>
      <c r="AH223" s="52"/>
      <c r="AI223" s="52"/>
      <c r="AS223" s="14"/>
      <c r="AT223" s="14"/>
      <c r="AU223" s="14"/>
      <c r="AV223" s="14"/>
      <c r="AW223" s="14"/>
      <c r="AX223" s="14"/>
      <c r="AY223" s="14"/>
    </row>
    <row r="224" spans="5:51" customFormat="1">
      <c r="E224" s="1"/>
      <c r="F224" s="1"/>
      <c r="G224" s="1"/>
      <c r="T224" s="52"/>
      <c r="V224" s="52"/>
      <c r="W224" s="52"/>
      <c r="X224" s="52"/>
      <c r="Y224" s="52"/>
      <c r="Z224" s="52"/>
      <c r="AA224" s="52"/>
      <c r="AB224" s="52"/>
      <c r="AC224" s="52"/>
      <c r="AD224" s="52"/>
      <c r="AE224" s="52"/>
      <c r="AF224" s="52"/>
      <c r="AG224" s="52"/>
      <c r="AH224" s="52"/>
      <c r="AI224" s="52"/>
      <c r="AS224" s="14"/>
      <c r="AT224" s="14"/>
      <c r="AU224" s="14"/>
      <c r="AV224" s="14"/>
      <c r="AW224" s="14"/>
      <c r="AX224" s="14"/>
      <c r="AY224" s="14"/>
    </row>
    <row r="225" spans="5:51" customFormat="1">
      <c r="E225" s="1"/>
      <c r="F225" s="1"/>
      <c r="G225" s="1"/>
      <c r="T225" s="52"/>
      <c r="V225" s="52"/>
      <c r="W225" s="52"/>
      <c r="X225" s="52"/>
      <c r="Y225" s="52"/>
      <c r="Z225" s="52"/>
      <c r="AA225" s="52"/>
      <c r="AB225" s="52"/>
      <c r="AC225" s="52"/>
      <c r="AD225" s="52"/>
      <c r="AE225" s="52"/>
      <c r="AF225" s="52"/>
      <c r="AG225" s="52"/>
      <c r="AH225" s="52"/>
      <c r="AI225" s="52"/>
      <c r="AS225" s="14"/>
      <c r="AT225" s="14"/>
      <c r="AU225" s="14"/>
      <c r="AV225" s="14"/>
      <c r="AW225" s="14"/>
      <c r="AX225" s="14"/>
      <c r="AY225" s="14"/>
    </row>
    <row r="226" spans="5:51" customFormat="1">
      <c r="E226" s="1"/>
      <c r="F226" s="1"/>
      <c r="G226" s="1"/>
      <c r="T226" s="52"/>
      <c r="V226" s="52"/>
      <c r="W226" s="52"/>
      <c r="X226" s="52"/>
      <c r="Y226" s="52"/>
      <c r="Z226" s="52"/>
      <c r="AA226" s="52"/>
      <c r="AB226" s="52"/>
      <c r="AC226" s="52"/>
      <c r="AD226" s="52"/>
      <c r="AE226" s="52"/>
      <c r="AF226" s="52"/>
      <c r="AG226" s="52"/>
      <c r="AH226" s="52"/>
      <c r="AI226" s="52"/>
      <c r="AS226" s="14"/>
      <c r="AT226" s="14"/>
      <c r="AU226" s="14"/>
      <c r="AV226" s="14"/>
      <c r="AW226" s="14"/>
      <c r="AX226" s="14"/>
      <c r="AY226" s="14"/>
    </row>
    <row r="227" spans="5:51" customFormat="1">
      <c r="E227" s="1"/>
      <c r="F227" s="1"/>
      <c r="G227" s="1"/>
      <c r="T227" s="52"/>
      <c r="V227" s="52"/>
      <c r="W227" s="52"/>
      <c r="X227" s="52"/>
      <c r="Y227" s="52"/>
      <c r="Z227" s="52"/>
      <c r="AA227" s="52"/>
      <c r="AB227" s="52"/>
      <c r="AC227" s="52"/>
      <c r="AD227" s="52"/>
      <c r="AE227" s="52"/>
      <c r="AF227" s="52"/>
      <c r="AG227" s="52"/>
      <c r="AH227" s="52"/>
      <c r="AI227" s="52"/>
      <c r="AS227" s="14"/>
      <c r="AT227" s="14"/>
      <c r="AU227" s="14"/>
      <c r="AV227" s="14"/>
      <c r="AW227" s="14"/>
      <c r="AX227" s="14"/>
      <c r="AY227" s="14"/>
    </row>
    <row r="228" spans="5:51" customFormat="1">
      <c r="E228" s="1"/>
      <c r="F228" s="1"/>
      <c r="G228" s="1"/>
      <c r="T228" s="52"/>
      <c r="V228" s="52"/>
      <c r="W228" s="52"/>
      <c r="X228" s="52"/>
      <c r="Y228" s="52"/>
      <c r="Z228" s="52"/>
      <c r="AA228" s="52"/>
      <c r="AB228" s="52"/>
      <c r="AC228" s="52"/>
      <c r="AD228" s="52"/>
      <c r="AE228" s="52"/>
      <c r="AF228" s="52"/>
      <c r="AG228" s="52"/>
      <c r="AH228" s="52"/>
      <c r="AI228" s="52"/>
      <c r="AS228" s="14"/>
      <c r="AT228" s="14"/>
      <c r="AU228" s="14"/>
      <c r="AV228" s="14"/>
      <c r="AW228" s="14"/>
      <c r="AX228" s="14"/>
      <c r="AY228" s="14"/>
    </row>
    <row r="229" spans="5:51" customFormat="1">
      <c r="E229" s="1"/>
      <c r="F229" s="1"/>
      <c r="G229" s="1"/>
      <c r="T229" s="52"/>
      <c r="V229" s="52"/>
      <c r="W229" s="52"/>
      <c r="X229" s="52"/>
      <c r="Y229" s="52"/>
      <c r="Z229" s="52"/>
      <c r="AA229" s="52"/>
      <c r="AB229" s="52"/>
      <c r="AC229" s="52"/>
      <c r="AD229" s="52"/>
      <c r="AE229" s="52"/>
      <c r="AF229" s="52"/>
      <c r="AG229" s="52"/>
      <c r="AH229" s="52"/>
      <c r="AI229" s="52"/>
      <c r="AS229" s="14"/>
      <c r="AT229" s="14"/>
      <c r="AU229" s="14"/>
      <c r="AV229" s="14"/>
      <c r="AW229" s="14"/>
      <c r="AX229" s="14"/>
      <c r="AY229" s="14"/>
    </row>
    <row r="230" spans="5:51" customFormat="1">
      <c r="E230" s="1"/>
      <c r="F230" s="1"/>
      <c r="G230" s="1"/>
      <c r="T230" s="52"/>
      <c r="V230" s="52"/>
      <c r="W230" s="52"/>
      <c r="X230" s="52"/>
      <c r="Y230" s="52"/>
      <c r="Z230" s="52"/>
      <c r="AA230" s="52"/>
      <c r="AB230" s="52"/>
      <c r="AC230" s="52"/>
      <c r="AD230" s="52"/>
      <c r="AE230" s="52"/>
      <c r="AF230" s="52"/>
      <c r="AG230" s="52"/>
      <c r="AH230" s="52"/>
      <c r="AI230" s="52"/>
      <c r="AS230" s="14"/>
      <c r="AT230" s="14"/>
      <c r="AU230" s="14"/>
      <c r="AV230" s="14"/>
      <c r="AW230" s="14"/>
      <c r="AX230" s="14"/>
      <c r="AY230" s="14"/>
    </row>
    <row r="231" spans="5:51" customFormat="1">
      <c r="E231" s="1"/>
      <c r="F231" s="1"/>
      <c r="G231" s="1"/>
      <c r="T231" s="52"/>
      <c r="V231" s="52"/>
      <c r="W231" s="52"/>
      <c r="X231" s="52"/>
      <c r="Y231" s="52"/>
      <c r="Z231" s="52"/>
      <c r="AA231" s="52"/>
      <c r="AB231" s="52"/>
      <c r="AC231" s="52"/>
      <c r="AD231" s="52"/>
      <c r="AE231" s="52"/>
      <c r="AF231" s="52"/>
      <c r="AG231" s="52"/>
      <c r="AH231" s="52"/>
      <c r="AI231" s="52"/>
      <c r="AS231" s="14"/>
      <c r="AT231" s="14"/>
      <c r="AU231" s="14"/>
      <c r="AV231" s="14"/>
      <c r="AW231" s="14"/>
      <c r="AX231" s="14"/>
      <c r="AY231" s="14"/>
    </row>
    <row r="232" spans="5:51" customFormat="1">
      <c r="E232" s="1"/>
      <c r="F232" s="1"/>
      <c r="G232" s="1"/>
      <c r="T232" s="52"/>
      <c r="V232" s="52"/>
      <c r="W232" s="52"/>
      <c r="X232" s="52"/>
      <c r="Y232" s="52"/>
      <c r="Z232" s="52"/>
      <c r="AA232" s="52"/>
      <c r="AB232" s="52"/>
      <c r="AC232" s="52"/>
      <c r="AD232" s="52"/>
      <c r="AE232" s="52"/>
      <c r="AF232" s="52"/>
      <c r="AG232" s="52"/>
      <c r="AH232" s="52"/>
      <c r="AI232" s="52"/>
      <c r="AS232" s="14"/>
      <c r="AT232" s="14"/>
      <c r="AU232" s="14"/>
      <c r="AV232" s="14"/>
      <c r="AW232" s="14"/>
      <c r="AX232" s="14"/>
      <c r="AY232" s="14"/>
    </row>
    <row r="233" spans="5:51" customFormat="1">
      <c r="E233" s="1"/>
      <c r="F233" s="1"/>
      <c r="G233" s="1"/>
      <c r="T233" s="52"/>
      <c r="V233" s="52"/>
      <c r="W233" s="52"/>
      <c r="X233" s="52"/>
      <c r="Y233" s="52"/>
      <c r="Z233" s="52"/>
      <c r="AA233" s="52"/>
      <c r="AB233" s="52"/>
      <c r="AC233" s="52"/>
      <c r="AD233" s="52"/>
      <c r="AE233" s="52"/>
      <c r="AF233" s="52"/>
      <c r="AG233" s="52"/>
      <c r="AH233" s="52"/>
      <c r="AI233" s="52"/>
      <c r="AS233" s="14"/>
      <c r="AT233" s="14"/>
      <c r="AU233" s="14"/>
      <c r="AV233" s="14"/>
      <c r="AW233" s="14"/>
      <c r="AX233" s="14"/>
      <c r="AY233" s="14"/>
    </row>
    <row r="234" spans="5:51" customFormat="1">
      <c r="E234" s="1"/>
      <c r="F234" s="1"/>
      <c r="G234" s="1"/>
      <c r="T234" s="52"/>
      <c r="V234" s="52"/>
      <c r="W234" s="52"/>
      <c r="X234" s="52"/>
      <c r="Y234" s="52"/>
      <c r="Z234" s="52"/>
      <c r="AA234" s="52"/>
      <c r="AB234" s="52"/>
      <c r="AC234" s="52"/>
      <c r="AD234" s="52"/>
      <c r="AE234" s="52"/>
      <c r="AF234" s="52"/>
      <c r="AG234" s="52"/>
      <c r="AH234" s="52"/>
      <c r="AI234" s="52"/>
      <c r="AS234" s="14"/>
      <c r="AT234" s="14"/>
      <c r="AU234" s="14"/>
      <c r="AV234" s="14"/>
      <c r="AW234" s="14"/>
      <c r="AX234" s="14"/>
      <c r="AY234" s="14"/>
    </row>
    <row r="235" spans="5:51" customFormat="1">
      <c r="E235" s="1"/>
      <c r="F235" s="1"/>
      <c r="G235" s="1"/>
      <c r="T235" s="52"/>
      <c r="V235" s="52"/>
      <c r="W235" s="52"/>
      <c r="X235" s="52"/>
      <c r="Y235" s="52"/>
      <c r="Z235" s="52"/>
      <c r="AA235" s="52"/>
      <c r="AB235" s="52"/>
      <c r="AC235" s="52"/>
      <c r="AD235" s="52"/>
      <c r="AE235" s="52"/>
      <c r="AF235" s="52"/>
      <c r="AG235" s="52"/>
      <c r="AH235" s="52"/>
      <c r="AI235" s="52"/>
      <c r="AS235" s="14"/>
      <c r="AT235" s="14"/>
      <c r="AU235" s="14"/>
      <c r="AV235" s="14"/>
      <c r="AW235" s="14"/>
      <c r="AX235" s="14"/>
      <c r="AY235" s="14"/>
    </row>
    <row r="236" spans="5:51" customFormat="1">
      <c r="E236" s="1"/>
      <c r="F236" s="1"/>
      <c r="G236" s="1"/>
      <c r="T236" s="52"/>
      <c r="V236" s="52"/>
      <c r="W236" s="52"/>
      <c r="X236" s="52"/>
      <c r="Y236" s="52"/>
      <c r="Z236" s="52"/>
      <c r="AA236" s="52"/>
      <c r="AB236" s="52"/>
      <c r="AC236" s="52"/>
      <c r="AD236" s="52"/>
      <c r="AE236" s="52"/>
      <c r="AF236" s="52"/>
      <c r="AG236" s="52"/>
      <c r="AH236" s="52"/>
      <c r="AI236" s="52"/>
      <c r="AS236" s="14"/>
      <c r="AT236" s="14"/>
      <c r="AU236" s="14"/>
      <c r="AV236" s="14"/>
      <c r="AW236" s="14"/>
      <c r="AX236" s="14"/>
      <c r="AY236" s="14"/>
    </row>
    <row r="237" spans="5:51" customFormat="1">
      <c r="E237" s="1"/>
      <c r="F237" s="1"/>
      <c r="G237" s="1"/>
      <c r="T237" s="52"/>
      <c r="V237" s="52"/>
      <c r="W237" s="52"/>
      <c r="X237" s="52"/>
      <c r="Y237" s="52"/>
      <c r="Z237" s="52"/>
      <c r="AA237" s="52"/>
      <c r="AB237" s="52"/>
      <c r="AC237" s="52"/>
      <c r="AD237" s="52"/>
      <c r="AE237" s="52"/>
      <c r="AF237" s="52"/>
      <c r="AG237" s="52"/>
      <c r="AH237" s="52"/>
      <c r="AI237" s="52"/>
      <c r="AS237" s="14"/>
      <c r="AT237" s="14"/>
      <c r="AU237" s="14"/>
      <c r="AV237" s="14"/>
      <c r="AW237" s="14"/>
      <c r="AX237" s="14"/>
      <c r="AY237" s="14"/>
    </row>
    <row r="238" spans="5:51" customFormat="1">
      <c r="E238" s="1"/>
      <c r="F238" s="1"/>
      <c r="G238" s="1"/>
      <c r="T238" s="52"/>
      <c r="V238" s="52"/>
      <c r="W238" s="52"/>
      <c r="X238" s="52"/>
      <c r="Y238" s="52"/>
      <c r="Z238" s="52"/>
      <c r="AA238" s="52"/>
      <c r="AB238" s="52"/>
      <c r="AC238" s="52"/>
      <c r="AD238" s="52"/>
      <c r="AE238" s="52"/>
      <c r="AF238" s="52"/>
      <c r="AG238" s="52"/>
      <c r="AH238" s="52"/>
      <c r="AI238" s="52"/>
      <c r="AS238" s="14"/>
      <c r="AT238" s="14"/>
      <c r="AU238" s="14"/>
      <c r="AV238" s="14"/>
      <c r="AW238" s="14"/>
      <c r="AX238" s="14"/>
      <c r="AY238" s="14"/>
    </row>
    <row r="239" spans="5:51" customFormat="1">
      <c r="E239" s="1"/>
      <c r="F239" s="1"/>
      <c r="G239" s="1"/>
      <c r="T239" s="52"/>
      <c r="V239" s="52"/>
      <c r="W239" s="52"/>
      <c r="X239" s="52"/>
      <c r="Y239" s="52"/>
      <c r="Z239" s="52"/>
      <c r="AA239" s="52"/>
      <c r="AB239" s="52"/>
      <c r="AC239" s="52"/>
      <c r="AD239" s="52"/>
      <c r="AE239" s="52"/>
      <c r="AF239" s="52"/>
      <c r="AG239" s="52"/>
      <c r="AH239" s="52"/>
      <c r="AI239" s="52"/>
      <c r="AS239" s="14"/>
      <c r="AT239" s="14"/>
      <c r="AU239" s="14"/>
      <c r="AV239" s="14"/>
      <c r="AW239" s="14"/>
      <c r="AX239" s="14"/>
      <c r="AY239" s="14"/>
    </row>
    <row r="240" spans="5:51" customFormat="1">
      <c r="E240" s="1"/>
      <c r="F240" s="1"/>
      <c r="G240" s="1"/>
      <c r="T240" s="52"/>
      <c r="V240" s="52"/>
      <c r="W240" s="52"/>
      <c r="X240" s="52"/>
      <c r="Y240" s="52"/>
      <c r="Z240" s="52"/>
      <c r="AA240" s="52"/>
      <c r="AB240" s="52"/>
      <c r="AC240" s="52"/>
      <c r="AD240" s="52"/>
      <c r="AE240" s="52"/>
      <c r="AF240" s="52"/>
      <c r="AG240" s="52"/>
      <c r="AH240" s="52"/>
      <c r="AI240" s="52"/>
      <c r="AS240" s="14"/>
      <c r="AT240" s="14"/>
      <c r="AU240" s="14"/>
      <c r="AV240" s="14"/>
      <c r="AW240" s="14"/>
      <c r="AX240" s="14"/>
      <c r="AY240" s="14"/>
    </row>
    <row r="241" spans="5:51" customFormat="1">
      <c r="E241" s="1"/>
      <c r="F241" s="1"/>
      <c r="G241" s="1"/>
      <c r="T241" s="52"/>
      <c r="V241" s="52"/>
      <c r="W241" s="52"/>
      <c r="X241" s="52"/>
      <c r="Y241" s="52"/>
      <c r="Z241" s="52"/>
      <c r="AA241" s="52"/>
      <c r="AB241" s="52"/>
      <c r="AC241" s="52"/>
      <c r="AD241" s="52"/>
      <c r="AE241" s="52"/>
      <c r="AF241" s="52"/>
      <c r="AG241" s="52"/>
      <c r="AH241" s="52"/>
      <c r="AI241" s="52"/>
      <c r="AS241" s="14"/>
      <c r="AT241" s="14"/>
      <c r="AU241" s="14"/>
      <c r="AV241" s="14"/>
      <c r="AW241" s="14"/>
      <c r="AX241" s="14"/>
      <c r="AY241" s="14"/>
    </row>
    <row r="242" spans="5:51" customFormat="1">
      <c r="E242" s="1"/>
      <c r="F242" s="1"/>
      <c r="G242" s="1"/>
      <c r="T242" s="52"/>
      <c r="V242" s="52"/>
      <c r="W242" s="52"/>
      <c r="X242" s="52"/>
      <c r="Y242" s="52"/>
      <c r="Z242" s="52"/>
      <c r="AA242" s="52"/>
      <c r="AB242" s="52"/>
      <c r="AC242" s="52"/>
      <c r="AD242" s="52"/>
      <c r="AE242" s="52"/>
      <c r="AF242" s="52"/>
      <c r="AG242" s="52"/>
      <c r="AH242" s="52"/>
      <c r="AI242" s="52"/>
      <c r="AS242" s="14"/>
      <c r="AT242" s="14"/>
      <c r="AU242" s="14"/>
      <c r="AV242" s="14"/>
      <c r="AW242" s="14"/>
      <c r="AX242" s="14"/>
      <c r="AY242" s="14"/>
    </row>
    <row r="243" spans="5:51" customFormat="1">
      <c r="E243" s="1"/>
      <c r="F243" s="1"/>
      <c r="G243" s="1"/>
      <c r="T243" s="52"/>
      <c r="V243" s="52"/>
      <c r="W243" s="52"/>
      <c r="X243" s="52"/>
      <c r="Y243" s="52"/>
      <c r="Z243" s="52"/>
      <c r="AA243" s="52"/>
      <c r="AB243" s="52"/>
      <c r="AC243" s="52"/>
      <c r="AD243" s="52"/>
      <c r="AE243" s="52"/>
      <c r="AF243" s="52"/>
      <c r="AG243" s="52"/>
      <c r="AH243" s="52"/>
      <c r="AI243" s="52"/>
      <c r="AS243" s="14"/>
      <c r="AT243" s="14"/>
      <c r="AU243" s="14"/>
      <c r="AV243" s="14"/>
      <c r="AW243" s="14"/>
      <c r="AX243" s="14"/>
      <c r="AY243" s="14"/>
    </row>
    <row r="244" spans="5:51" customFormat="1">
      <c r="E244" s="1"/>
      <c r="F244" s="1"/>
      <c r="G244" s="1"/>
      <c r="T244" s="52"/>
      <c r="V244" s="52"/>
      <c r="W244" s="52"/>
      <c r="X244" s="52"/>
      <c r="Y244" s="52"/>
      <c r="Z244" s="52"/>
      <c r="AA244" s="52"/>
      <c r="AB244" s="52"/>
      <c r="AC244" s="52"/>
      <c r="AD244" s="52"/>
      <c r="AE244" s="52"/>
      <c r="AF244" s="52"/>
      <c r="AG244" s="52"/>
      <c r="AH244" s="52"/>
      <c r="AI244" s="52"/>
      <c r="AS244" s="14"/>
      <c r="AT244" s="14"/>
      <c r="AU244" s="14"/>
      <c r="AV244" s="14"/>
      <c r="AW244" s="14"/>
      <c r="AX244" s="14"/>
      <c r="AY244" s="14"/>
    </row>
    <row r="245" spans="5:51" customFormat="1">
      <c r="E245" s="1"/>
      <c r="F245" s="1"/>
      <c r="G245" s="1"/>
      <c r="T245" s="52"/>
      <c r="V245" s="52"/>
      <c r="W245" s="52"/>
      <c r="X245" s="52"/>
      <c r="Y245" s="52"/>
      <c r="Z245" s="52"/>
      <c r="AA245" s="52"/>
      <c r="AB245" s="52"/>
      <c r="AC245" s="52"/>
      <c r="AD245" s="52"/>
      <c r="AE245" s="52"/>
      <c r="AF245" s="52"/>
      <c r="AG245" s="52"/>
      <c r="AH245" s="52"/>
      <c r="AI245" s="52"/>
      <c r="AS245" s="14"/>
      <c r="AT245" s="14"/>
      <c r="AU245" s="14"/>
      <c r="AV245" s="14"/>
      <c r="AW245" s="14"/>
      <c r="AX245" s="14"/>
      <c r="AY245" s="14"/>
    </row>
    <row r="246" spans="5:51" customFormat="1">
      <c r="E246" s="1"/>
      <c r="F246" s="1"/>
      <c r="G246" s="1"/>
      <c r="T246" s="52"/>
      <c r="V246" s="52"/>
      <c r="W246" s="52"/>
      <c r="X246" s="52"/>
      <c r="Y246" s="52"/>
      <c r="Z246" s="52"/>
      <c r="AA246" s="52"/>
      <c r="AB246" s="52"/>
      <c r="AC246" s="52"/>
      <c r="AD246" s="52"/>
      <c r="AE246" s="52"/>
      <c r="AF246" s="52"/>
      <c r="AG246" s="52"/>
      <c r="AH246" s="52"/>
      <c r="AI246" s="52"/>
      <c r="AS246" s="14"/>
      <c r="AT246" s="14"/>
      <c r="AU246" s="14"/>
      <c r="AV246" s="14"/>
      <c r="AW246" s="14"/>
      <c r="AX246" s="14"/>
      <c r="AY246" s="14"/>
    </row>
    <row r="247" spans="5:51" customFormat="1">
      <c r="E247" s="1"/>
      <c r="F247" s="1"/>
      <c r="G247" s="1"/>
      <c r="T247" s="52"/>
      <c r="V247" s="52"/>
      <c r="W247" s="52"/>
      <c r="X247" s="52"/>
      <c r="Y247" s="52"/>
      <c r="Z247" s="52"/>
      <c r="AA247" s="52"/>
      <c r="AB247" s="52"/>
      <c r="AC247" s="52"/>
      <c r="AD247" s="52"/>
      <c r="AE247" s="52"/>
      <c r="AF247" s="52"/>
      <c r="AG247" s="52"/>
      <c r="AH247" s="52"/>
      <c r="AI247" s="52"/>
      <c r="AS247" s="14"/>
      <c r="AT247" s="14"/>
      <c r="AU247" s="14"/>
      <c r="AV247" s="14"/>
      <c r="AW247" s="14"/>
      <c r="AX247" s="14"/>
      <c r="AY247" s="14"/>
    </row>
    <row r="248" spans="5:51" customFormat="1">
      <c r="E248" s="1"/>
      <c r="F248" s="1"/>
      <c r="G248" s="1"/>
      <c r="T248" s="52"/>
      <c r="V248" s="52"/>
      <c r="W248" s="52"/>
      <c r="X248" s="52"/>
      <c r="Y248" s="52"/>
      <c r="Z248" s="52"/>
      <c r="AA248" s="52"/>
      <c r="AB248" s="52"/>
      <c r="AC248" s="52"/>
      <c r="AD248" s="52"/>
      <c r="AE248" s="52"/>
      <c r="AF248" s="52"/>
      <c r="AG248" s="52"/>
      <c r="AH248" s="52"/>
      <c r="AI248" s="52"/>
      <c r="AS248" s="14"/>
      <c r="AT248" s="14"/>
      <c r="AU248" s="14"/>
      <c r="AV248" s="14"/>
      <c r="AW248" s="14"/>
      <c r="AX248" s="14"/>
      <c r="AY248" s="14"/>
    </row>
    <row r="249" spans="5:51" customFormat="1">
      <c r="E249" s="1"/>
      <c r="F249" s="1"/>
      <c r="G249" s="1"/>
      <c r="T249" s="52"/>
      <c r="V249" s="52"/>
      <c r="W249" s="52"/>
      <c r="X249" s="52"/>
      <c r="Y249" s="52"/>
      <c r="Z249" s="52"/>
      <c r="AA249" s="52"/>
      <c r="AB249" s="52"/>
      <c r="AC249" s="52"/>
      <c r="AD249" s="52"/>
      <c r="AE249" s="52"/>
      <c r="AF249" s="52"/>
      <c r="AG249" s="52"/>
      <c r="AH249" s="52"/>
      <c r="AI249" s="52"/>
      <c r="AS249" s="14"/>
      <c r="AT249" s="14"/>
      <c r="AU249" s="14"/>
      <c r="AV249" s="14"/>
      <c r="AW249" s="14"/>
      <c r="AX249" s="14"/>
      <c r="AY249" s="14"/>
    </row>
    <row r="250" spans="5:51" customFormat="1">
      <c r="E250" s="1"/>
      <c r="F250" s="1"/>
      <c r="G250" s="1"/>
      <c r="T250" s="52"/>
      <c r="V250" s="52"/>
      <c r="W250" s="52"/>
      <c r="X250" s="52"/>
      <c r="Y250" s="52"/>
      <c r="Z250" s="52"/>
      <c r="AA250" s="52"/>
      <c r="AB250" s="52"/>
      <c r="AC250" s="52"/>
      <c r="AD250" s="52"/>
      <c r="AE250" s="52"/>
      <c r="AF250" s="52"/>
      <c r="AG250" s="52"/>
      <c r="AH250" s="52"/>
      <c r="AI250" s="52"/>
      <c r="AS250" s="14"/>
      <c r="AT250" s="14"/>
      <c r="AU250" s="14"/>
      <c r="AV250" s="14"/>
      <c r="AW250" s="14"/>
      <c r="AX250" s="14"/>
      <c r="AY250" s="14"/>
    </row>
    <row r="251" spans="5:51" customFormat="1">
      <c r="E251" s="1"/>
      <c r="F251" s="1"/>
      <c r="G251" s="1"/>
      <c r="T251" s="52"/>
      <c r="V251" s="52"/>
      <c r="W251" s="52"/>
      <c r="X251" s="52"/>
      <c r="Y251" s="52"/>
      <c r="Z251" s="52"/>
      <c r="AA251" s="52"/>
      <c r="AB251" s="52"/>
      <c r="AC251" s="52"/>
      <c r="AD251" s="52"/>
      <c r="AE251" s="52"/>
      <c r="AF251" s="52"/>
      <c r="AG251" s="52"/>
      <c r="AH251" s="52"/>
      <c r="AI251" s="52"/>
      <c r="AS251" s="14"/>
      <c r="AT251" s="14"/>
      <c r="AU251" s="14"/>
      <c r="AV251" s="14"/>
      <c r="AW251" s="14"/>
      <c r="AX251" s="14"/>
      <c r="AY251" s="14"/>
    </row>
    <row r="252" spans="5:51" customFormat="1">
      <c r="E252" s="1"/>
      <c r="F252" s="1"/>
      <c r="G252" s="1"/>
      <c r="T252" s="52"/>
      <c r="V252" s="52"/>
      <c r="W252" s="52"/>
      <c r="X252" s="52"/>
      <c r="Y252" s="52"/>
      <c r="Z252" s="52"/>
      <c r="AA252" s="52"/>
      <c r="AB252" s="52"/>
      <c r="AC252" s="52"/>
      <c r="AD252" s="52"/>
      <c r="AE252" s="52"/>
      <c r="AF252" s="52"/>
      <c r="AG252" s="52"/>
      <c r="AH252" s="52"/>
      <c r="AI252" s="52"/>
      <c r="AS252" s="14"/>
      <c r="AT252" s="14"/>
      <c r="AU252" s="14"/>
      <c r="AV252" s="14"/>
      <c r="AW252" s="14"/>
      <c r="AX252" s="14"/>
      <c r="AY252" s="14"/>
    </row>
    <row r="253" spans="5:51" customFormat="1">
      <c r="E253" s="1"/>
      <c r="F253" s="1"/>
      <c r="G253" s="1"/>
      <c r="T253" s="52"/>
      <c r="V253" s="52"/>
      <c r="W253" s="52"/>
      <c r="X253" s="52"/>
      <c r="Y253" s="52"/>
      <c r="Z253" s="52"/>
      <c r="AA253" s="52"/>
      <c r="AB253" s="52"/>
      <c r="AC253" s="52"/>
      <c r="AD253" s="52"/>
      <c r="AE253" s="52"/>
      <c r="AF253" s="52"/>
      <c r="AG253" s="52"/>
      <c r="AH253" s="52"/>
      <c r="AI253" s="52"/>
      <c r="AS253" s="14"/>
      <c r="AT253" s="14"/>
      <c r="AU253" s="14"/>
      <c r="AV253" s="14"/>
      <c r="AW253" s="14"/>
      <c r="AX253" s="14"/>
      <c r="AY253" s="14"/>
    </row>
    <row r="254" spans="5:51" customFormat="1">
      <c r="E254" s="1"/>
      <c r="F254" s="1"/>
      <c r="G254" s="1"/>
      <c r="T254" s="52"/>
      <c r="V254" s="52"/>
      <c r="W254" s="52"/>
      <c r="X254" s="52"/>
      <c r="Y254" s="52"/>
      <c r="Z254" s="52"/>
      <c r="AA254" s="52"/>
      <c r="AB254" s="52"/>
      <c r="AC254" s="52"/>
      <c r="AD254" s="52"/>
      <c r="AE254" s="52"/>
      <c r="AF254" s="52"/>
      <c r="AG254" s="52"/>
      <c r="AH254" s="52"/>
      <c r="AI254" s="52"/>
      <c r="AS254" s="14"/>
      <c r="AT254" s="14"/>
      <c r="AU254" s="14"/>
      <c r="AV254" s="14"/>
      <c r="AW254" s="14"/>
      <c r="AX254" s="14"/>
      <c r="AY254" s="14"/>
    </row>
    <row r="255" spans="5:51" customFormat="1">
      <c r="E255" s="1"/>
      <c r="F255" s="1"/>
      <c r="G255" s="1"/>
      <c r="T255" s="52"/>
      <c r="V255" s="52"/>
      <c r="W255" s="52"/>
      <c r="X255" s="52"/>
      <c r="Y255" s="52"/>
      <c r="Z255" s="52"/>
      <c r="AA255" s="52"/>
      <c r="AB255" s="52"/>
      <c r="AC255" s="52"/>
      <c r="AD255" s="52"/>
      <c r="AE255" s="52"/>
      <c r="AF255" s="52"/>
      <c r="AG255" s="52"/>
      <c r="AH255" s="52"/>
      <c r="AI255" s="52"/>
      <c r="AS255" s="14"/>
      <c r="AT255" s="14"/>
      <c r="AU255" s="14"/>
      <c r="AV255" s="14"/>
      <c r="AW255" s="14"/>
      <c r="AX255" s="14"/>
      <c r="AY255" s="14"/>
    </row>
    <row r="256" spans="5:51" customFormat="1">
      <c r="E256" s="1"/>
      <c r="F256" s="1"/>
      <c r="G256" s="1"/>
      <c r="T256" s="52"/>
      <c r="V256" s="52"/>
      <c r="W256" s="52"/>
      <c r="X256" s="52"/>
      <c r="Y256" s="52"/>
      <c r="Z256" s="52"/>
      <c r="AA256" s="52"/>
      <c r="AB256" s="52"/>
      <c r="AC256" s="52"/>
      <c r="AD256" s="52"/>
      <c r="AE256" s="52"/>
      <c r="AF256" s="52"/>
      <c r="AG256" s="52"/>
      <c r="AH256" s="52"/>
      <c r="AI256" s="52"/>
      <c r="AS256" s="14"/>
      <c r="AT256" s="14"/>
      <c r="AU256" s="14"/>
      <c r="AV256" s="14"/>
      <c r="AW256" s="14"/>
      <c r="AX256" s="14"/>
      <c r="AY256" s="14"/>
    </row>
    <row r="257" spans="5:51" customFormat="1">
      <c r="E257" s="1"/>
      <c r="F257" s="1"/>
      <c r="G257" s="1"/>
      <c r="T257" s="52"/>
      <c r="V257" s="52"/>
      <c r="W257" s="52"/>
      <c r="X257" s="52"/>
      <c r="Y257" s="52"/>
      <c r="Z257" s="52"/>
      <c r="AA257" s="52"/>
      <c r="AB257" s="52"/>
      <c r="AC257" s="52"/>
      <c r="AD257" s="52"/>
      <c r="AE257" s="52"/>
      <c r="AF257" s="52"/>
      <c r="AG257" s="52"/>
      <c r="AH257" s="52"/>
      <c r="AI257" s="52"/>
      <c r="AS257" s="14"/>
      <c r="AT257" s="14"/>
      <c r="AU257" s="14"/>
      <c r="AV257" s="14"/>
      <c r="AW257" s="14"/>
      <c r="AX257" s="14"/>
      <c r="AY257" s="14"/>
    </row>
    <row r="258" spans="5:51" customFormat="1">
      <c r="E258" s="1"/>
      <c r="F258" s="1"/>
      <c r="G258" s="1"/>
      <c r="T258" s="52"/>
      <c r="V258" s="52"/>
      <c r="W258" s="52"/>
      <c r="X258" s="52"/>
      <c r="Y258" s="52"/>
      <c r="Z258" s="52"/>
      <c r="AA258" s="52"/>
      <c r="AB258" s="52"/>
      <c r="AC258" s="52"/>
      <c r="AD258" s="52"/>
      <c r="AE258" s="52"/>
      <c r="AF258" s="52"/>
      <c r="AG258" s="52"/>
      <c r="AH258" s="52"/>
      <c r="AI258" s="52"/>
      <c r="AS258" s="14"/>
      <c r="AT258" s="14"/>
      <c r="AU258" s="14"/>
      <c r="AV258" s="14"/>
      <c r="AW258" s="14"/>
      <c r="AX258" s="14"/>
      <c r="AY258" s="14"/>
    </row>
    <row r="259" spans="5:51" customFormat="1">
      <c r="E259" s="1"/>
      <c r="F259" s="1"/>
      <c r="G259" s="1"/>
      <c r="T259" s="52"/>
      <c r="V259" s="52"/>
      <c r="W259" s="52"/>
      <c r="X259" s="52"/>
      <c r="Y259" s="52"/>
      <c r="Z259" s="52"/>
      <c r="AA259" s="52"/>
      <c r="AB259" s="52"/>
      <c r="AC259" s="52"/>
      <c r="AD259" s="52"/>
      <c r="AE259" s="52"/>
      <c r="AF259" s="52"/>
      <c r="AG259" s="52"/>
      <c r="AH259" s="52"/>
      <c r="AI259" s="52"/>
      <c r="AS259" s="14"/>
      <c r="AT259" s="14"/>
      <c r="AU259" s="14"/>
      <c r="AV259" s="14"/>
      <c r="AW259" s="14"/>
      <c r="AX259" s="14"/>
      <c r="AY259" s="14"/>
    </row>
    <row r="260" spans="5:51" customFormat="1">
      <c r="E260" s="1"/>
      <c r="F260" s="1"/>
      <c r="G260" s="1"/>
      <c r="T260" s="52"/>
      <c r="V260" s="52"/>
      <c r="W260" s="52"/>
      <c r="X260" s="52"/>
      <c r="Y260" s="52"/>
      <c r="Z260" s="52"/>
      <c r="AA260" s="52"/>
      <c r="AB260" s="52"/>
      <c r="AC260" s="52"/>
      <c r="AD260" s="52"/>
      <c r="AE260" s="52"/>
      <c r="AF260" s="52"/>
      <c r="AG260" s="52"/>
      <c r="AH260" s="52"/>
      <c r="AI260" s="52"/>
      <c r="AS260" s="14"/>
      <c r="AT260" s="14"/>
      <c r="AU260" s="14"/>
      <c r="AV260" s="14"/>
      <c r="AW260" s="14"/>
      <c r="AX260" s="14"/>
      <c r="AY260" s="14"/>
    </row>
    <row r="261" spans="5:51" customFormat="1">
      <c r="E261" s="1"/>
      <c r="F261" s="1"/>
      <c r="G261" s="1"/>
      <c r="T261" s="52"/>
      <c r="V261" s="52"/>
      <c r="W261" s="52"/>
      <c r="X261" s="52"/>
      <c r="Y261" s="52"/>
      <c r="Z261" s="52"/>
      <c r="AA261" s="52"/>
      <c r="AB261" s="52"/>
      <c r="AC261" s="52"/>
      <c r="AD261" s="52"/>
      <c r="AE261" s="52"/>
      <c r="AF261" s="52"/>
      <c r="AG261" s="52"/>
      <c r="AH261" s="52"/>
      <c r="AI261" s="52"/>
      <c r="AS261" s="14"/>
      <c r="AT261" s="14"/>
      <c r="AU261" s="14"/>
      <c r="AV261" s="14"/>
      <c r="AW261" s="14"/>
      <c r="AX261" s="14"/>
      <c r="AY261" s="14"/>
    </row>
    <row r="262" spans="5:51" customFormat="1">
      <c r="E262" s="1"/>
      <c r="F262" s="1"/>
      <c r="G262" s="1"/>
      <c r="T262" s="52"/>
      <c r="V262" s="52"/>
      <c r="W262" s="52"/>
      <c r="X262" s="52"/>
      <c r="Y262" s="52"/>
      <c r="Z262" s="52"/>
      <c r="AA262" s="52"/>
      <c r="AB262" s="52"/>
      <c r="AC262" s="52"/>
      <c r="AD262" s="52"/>
      <c r="AE262" s="52"/>
      <c r="AF262" s="52"/>
      <c r="AG262" s="52"/>
      <c r="AH262" s="52"/>
      <c r="AI262" s="52"/>
      <c r="AS262" s="14"/>
      <c r="AT262" s="14"/>
      <c r="AU262" s="14"/>
      <c r="AV262" s="14"/>
      <c r="AW262" s="14"/>
      <c r="AX262" s="14"/>
      <c r="AY262" s="14"/>
    </row>
    <row r="263" spans="5:51" customFormat="1">
      <c r="E263" s="1"/>
      <c r="F263" s="1"/>
      <c r="G263" s="1"/>
      <c r="T263" s="52"/>
      <c r="V263" s="52"/>
      <c r="W263" s="52"/>
      <c r="X263" s="52"/>
      <c r="Y263" s="52"/>
      <c r="Z263" s="52"/>
      <c r="AA263" s="52"/>
      <c r="AB263" s="52"/>
      <c r="AC263" s="52"/>
      <c r="AD263" s="52"/>
      <c r="AE263" s="52"/>
      <c r="AF263" s="52"/>
      <c r="AG263" s="52"/>
      <c r="AH263" s="52"/>
      <c r="AI263" s="52"/>
      <c r="AS263" s="14"/>
      <c r="AT263" s="14"/>
      <c r="AU263" s="14"/>
      <c r="AV263" s="14"/>
      <c r="AW263" s="14"/>
      <c r="AX263" s="14"/>
      <c r="AY263" s="14"/>
    </row>
    <row r="264" spans="5:51" customFormat="1">
      <c r="E264" s="1"/>
      <c r="F264" s="1"/>
      <c r="G264" s="1"/>
      <c r="T264" s="52"/>
      <c r="V264" s="52"/>
      <c r="W264" s="52"/>
      <c r="X264" s="52"/>
      <c r="Y264" s="52"/>
      <c r="Z264" s="52"/>
      <c r="AA264" s="52"/>
      <c r="AB264" s="52"/>
      <c r="AC264" s="52"/>
      <c r="AD264" s="52"/>
      <c r="AE264" s="52"/>
      <c r="AF264" s="52"/>
      <c r="AG264" s="52"/>
      <c r="AH264" s="52"/>
      <c r="AI264" s="52"/>
      <c r="AS264" s="14"/>
      <c r="AT264" s="14"/>
      <c r="AU264" s="14"/>
      <c r="AV264" s="14"/>
      <c r="AW264" s="14"/>
      <c r="AX264" s="14"/>
      <c r="AY264" s="14"/>
    </row>
    <row r="265" spans="5:51" customFormat="1">
      <c r="E265" s="1"/>
      <c r="F265" s="1"/>
      <c r="G265" s="1"/>
      <c r="T265" s="52"/>
      <c r="V265" s="52"/>
      <c r="W265" s="52"/>
      <c r="X265" s="52"/>
      <c r="Y265" s="52"/>
      <c r="Z265" s="52"/>
      <c r="AA265" s="52"/>
      <c r="AB265" s="52"/>
      <c r="AC265" s="52"/>
      <c r="AD265" s="52"/>
      <c r="AE265" s="52"/>
      <c r="AF265" s="52"/>
      <c r="AG265" s="52"/>
      <c r="AH265" s="52"/>
      <c r="AI265" s="52"/>
      <c r="AS265" s="14"/>
      <c r="AT265" s="14"/>
      <c r="AU265" s="14"/>
      <c r="AV265" s="14"/>
      <c r="AW265" s="14"/>
      <c r="AX265" s="14"/>
      <c r="AY265" s="14"/>
    </row>
    <row r="266" spans="5:51" customFormat="1">
      <c r="E266" s="1"/>
      <c r="F266" s="1"/>
      <c r="G266" s="1"/>
      <c r="T266" s="52"/>
      <c r="V266" s="52"/>
      <c r="W266" s="52"/>
      <c r="X266" s="52"/>
      <c r="Y266" s="52"/>
      <c r="Z266" s="52"/>
      <c r="AA266" s="52"/>
      <c r="AB266" s="52"/>
      <c r="AC266" s="52"/>
      <c r="AD266" s="52"/>
      <c r="AE266" s="52"/>
      <c r="AF266" s="52"/>
      <c r="AG266" s="52"/>
      <c r="AH266" s="52"/>
      <c r="AI266" s="52"/>
      <c r="AS266" s="14"/>
      <c r="AT266" s="14"/>
      <c r="AU266" s="14"/>
      <c r="AV266" s="14"/>
      <c r="AW266" s="14"/>
      <c r="AX266" s="14"/>
      <c r="AY266" s="14"/>
    </row>
    <row r="267" spans="5:51" customFormat="1">
      <c r="E267" s="1"/>
      <c r="F267" s="1"/>
      <c r="G267" s="1"/>
      <c r="T267" s="52"/>
      <c r="V267" s="52"/>
      <c r="W267" s="52"/>
      <c r="X267" s="52"/>
      <c r="Y267" s="52"/>
      <c r="Z267" s="52"/>
      <c r="AA267" s="52"/>
      <c r="AB267" s="52"/>
      <c r="AC267" s="52"/>
      <c r="AD267" s="52"/>
      <c r="AE267" s="52"/>
      <c r="AF267" s="52"/>
      <c r="AG267" s="52"/>
      <c r="AH267" s="52"/>
      <c r="AI267" s="52"/>
      <c r="AS267" s="14"/>
      <c r="AT267" s="14"/>
      <c r="AU267" s="14"/>
      <c r="AV267" s="14"/>
      <c r="AW267" s="14"/>
      <c r="AX267" s="14"/>
      <c r="AY267" s="14"/>
    </row>
    <row r="268" spans="5:51" customFormat="1">
      <c r="E268" s="1"/>
      <c r="F268" s="1"/>
      <c r="G268" s="1"/>
      <c r="T268" s="52"/>
      <c r="V268" s="52"/>
      <c r="W268" s="52"/>
      <c r="X268" s="52"/>
      <c r="Y268" s="52"/>
      <c r="Z268" s="52"/>
      <c r="AA268" s="52"/>
      <c r="AB268" s="52"/>
      <c r="AC268" s="52"/>
      <c r="AD268" s="52"/>
      <c r="AE268" s="52"/>
      <c r="AF268" s="52"/>
      <c r="AG268" s="52"/>
      <c r="AH268" s="52"/>
      <c r="AI268" s="52"/>
      <c r="AS268" s="14"/>
      <c r="AT268" s="14"/>
      <c r="AU268" s="14"/>
      <c r="AV268" s="14"/>
      <c r="AW268" s="14"/>
      <c r="AX268" s="14"/>
      <c r="AY268" s="14"/>
    </row>
    <row r="269" spans="5:51" customFormat="1">
      <c r="E269" s="1"/>
      <c r="F269" s="1"/>
      <c r="G269" s="1"/>
      <c r="T269" s="52"/>
      <c r="V269" s="52"/>
      <c r="W269" s="52"/>
      <c r="X269" s="52"/>
      <c r="Y269" s="52"/>
      <c r="Z269" s="52"/>
      <c r="AA269" s="52"/>
      <c r="AB269" s="52"/>
      <c r="AC269" s="52"/>
      <c r="AD269" s="52"/>
      <c r="AE269" s="52"/>
      <c r="AF269" s="52"/>
      <c r="AG269" s="52"/>
      <c r="AH269" s="52"/>
      <c r="AI269" s="52"/>
      <c r="AS269" s="14"/>
      <c r="AT269" s="14"/>
      <c r="AU269" s="14"/>
      <c r="AV269" s="14"/>
      <c r="AW269" s="14"/>
      <c r="AX269" s="14"/>
      <c r="AY269" s="14"/>
    </row>
    <row r="270" spans="5:51" customFormat="1">
      <c r="E270" s="1"/>
      <c r="F270" s="1"/>
      <c r="G270" s="1"/>
      <c r="T270" s="52"/>
      <c r="V270" s="52"/>
      <c r="W270" s="52"/>
      <c r="X270" s="52"/>
      <c r="Y270" s="52"/>
      <c r="Z270" s="52"/>
      <c r="AA270" s="52"/>
      <c r="AB270" s="52"/>
      <c r="AC270" s="52"/>
      <c r="AD270" s="52"/>
      <c r="AE270" s="52"/>
      <c r="AF270" s="52"/>
      <c r="AG270" s="52"/>
      <c r="AH270" s="52"/>
      <c r="AI270" s="52"/>
      <c r="AS270" s="14"/>
      <c r="AT270" s="14"/>
      <c r="AU270" s="14"/>
      <c r="AV270" s="14"/>
      <c r="AW270" s="14"/>
      <c r="AX270" s="14"/>
      <c r="AY270" s="14"/>
    </row>
    <row r="271" spans="5:51" customFormat="1">
      <c r="E271" s="1"/>
      <c r="F271" s="1"/>
      <c r="G271" s="1"/>
      <c r="T271" s="52"/>
      <c r="V271" s="52"/>
      <c r="W271" s="52"/>
      <c r="X271" s="52"/>
      <c r="Y271" s="52"/>
      <c r="Z271" s="52"/>
      <c r="AA271" s="52"/>
      <c r="AB271" s="52"/>
      <c r="AC271" s="52"/>
      <c r="AD271" s="52"/>
      <c r="AE271" s="52"/>
      <c r="AF271" s="52"/>
      <c r="AG271" s="52"/>
      <c r="AH271" s="52"/>
      <c r="AI271" s="52"/>
      <c r="AS271" s="14"/>
      <c r="AT271" s="14"/>
      <c r="AU271" s="14"/>
      <c r="AV271" s="14"/>
      <c r="AW271" s="14"/>
      <c r="AX271" s="14"/>
      <c r="AY271" s="14"/>
    </row>
    <row r="272" spans="5:51" customFormat="1">
      <c r="E272" s="1"/>
      <c r="F272" s="1"/>
      <c r="G272" s="1"/>
      <c r="T272" s="52"/>
      <c r="V272" s="52"/>
      <c r="W272" s="52"/>
      <c r="X272" s="52"/>
      <c r="Y272" s="52"/>
      <c r="Z272" s="52"/>
      <c r="AA272" s="52"/>
      <c r="AB272" s="52"/>
      <c r="AC272" s="52"/>
      <c r="AD272" s="52"/>
      <c r="AE272" s="52"/>
      <c r="AF272" s="52"/>
      <c r="AG272" s="52"/>
      <c r="AH272" s="52"/>
      <c r="AI272" s="52"/>
      <c r="AS272" s="14"/>
      <c r="AT272" s="14"/>
      <c r="AU272" s="14"/>
      <c r="AV272" s="14"/>
      <c r="AW272" s="14"/>
      <c r="AX272" s="14"/>
      <c r="AY272" s="14"/>
    </row>
    <row r="273" spans="5:51" customFormat="1">
      <c r="E273" s="1"/>
      <c r="F273" s="1"/>
      <c r="G273" s="1"/>
      <c r="T273" s="52"/>
      <c r="V273" s="52"/>
      <c r="W273" s="52"/>
      <c r="X273" s="52"/>
      <c r="Y273" s="52"/>
      <c r="Z273" s="52"/>
      <c r="AA273" s="52"/>
      <c r="AB273" s="52"/>
      <c r="AC273" s="52"/>
      <c r="AD273" s="52"/>
      <c r="AE273" s="52"/>
      <c r="AF273" s="52"/>
      <c r="AG273" s="52"/>
      <c r="AH273" s="52"/>
      <c r="AI273" s="52"/>
      <c r="AS273" s="14"/>
      <c r="AT273" s="14"/>
      <c r="AU273" s="14"/>
      <c r="AV273" s="14"/>
      <c r="AW273" s="14"/>
      <c r="AX273" s="14"/>
      <c r="AY273" s="14"/>
    </row>
    <row r="274" spans="5:51" customFormat="1">
      <c r="E274" s="1"/>
      <c r="F274" s="1"/>
      <c r="G274" s="1"/>
      <c r="T274" s="52"/>
      <c r="V274" s="52"/>
      <c r="W274" s="52"/>
      <c r="X274" s="52"/>
      <c r="Y274" s="52"/>
      <c r="Z274" s="52"/>
      <c r="AA274" s="52"/>
      <c r="AB274" s="52"/>
      <c r="AC274" s="52"/>
      <c r="AD274" s="52"/>
      <c r="AE274" s="52"/>
      <c r="AF274" s="52"/>
      <c r="AG274" s="52"/>
      <c r="AH274" s="52"/>
      <c r="AI274" s="52"/>
      <c r="AS274" s="14"/>
      <c r="AT274" s="14"/>
      <c r="AU274" s="14"/>
      <c r="AV274" s="14"/>
      <c r="AW274" s="14"/>
      <c r="AX274" s="14"/>
      <c r="AY274" s="14"/>
    </row>
    <row r="275" spans="5:51" customFormat="1">
      <c r="E275" s="1"/>
      <c r="F275" s="1"/>
      <c r="G275" s="1"/>
      <c r="T275" s="52"/>
      <c r="V275" s="52"/>
      <c r="W275" s="52"/>
      <c r="X275" s="52"/>
      <c r="Y275" s="52"/>
      <c r="Z275" s="52"/>
      <c r="AA275" s="52"/>
      <c r="AB275" s="52"/>
      <c r="AC275" s="52"/>
      <c r="AD275" s="52"/>
      <c r="AE275" s="52"/>
      <c r="AF275" s="52"/>
      <c r="AG275" s="52"/>
      <c r="AH275" s="52"/>
      <c r="AI275" s="52"/>
      <c r="AS275" s="14"/>
      <c r="AT275" s="14"/>
      <c r="AU275" s="14"/>
      <c r="AV275" s="14"/>
      <c r="AW275" s="14"/>
      <c r="AX275" s="14"/>
      <c r="AY275" s="14"/>
    </row>
    <row r="276" spans="5:51" customFormat="1">
      <c r="E276" s="1"/>
      <c r="F276" s="1"/>
      <c r="G276" s="1"/>
      <c r="T276" s="52"/>
      <c r="V276" s="52"/>
      <c r="W276" s="52"/>
      <c r="X276" s="52"/>
      <c r="Y276" s="52"/>
      <c r="Z276" s="52"/>
      <c r="AA276" s="52"/>
      <c r="AB276" s="52"/>
      <c r="AC276" s="52"/>
      <c r="AD276" s="52"/>
      <c r="AE276" s="52"/>
      <c r="AF276" s="52"/>
      <c r="AG276" s="52"/>
      <c r="AH276" s="52"/>
      <c r="AI276" s="52"/>
      <c r="AS276" s="14"/>
      <c r="AT276" s="14"/>
      <c r="AU276" s="14"/>
      <c r="AV276" s="14"/>
      <c r="AW276" s="14"/>
      <c r="AX276" s="14"/>
      <c r="AY276" s="14"/>
    </row>
    <row r="277" spans="5:51" customFormat="1">
      <c r="E277" s="1"/>
      <c r="F277" s="1"/>
      <c r="G277" s="1"/>
      <c r="T277" s="52"/>
      <c r="V277" s="52"/>
      <c r="W277" s="52"/>
      <c r="X277" s="52"/>
      <c r="Y277" s="52"/>
      <c r="Z277" s="52"/>
      <c r="AA277" s="52"/>
      <c r="AB277" s="52"/>
      <c r="AC277" s="52"/>
      <c r="AD277" s="52"/>
      <c r="AE277" s="52"/>
      <c r="AF277" s="52"/>
      <c r="AG277" s="52"/>
      <c r="AH277" s="52"/>
      <c r="AI277" s="52"/>
      <c r="AS277" s="14"/>
      <c r="AT277" s="14"/>
      <c r="AU277" s="14"/>
      <c r="AV277" s="14"/>
      <c r="AW277" s="14"/>
      <c r="AX277" s="14"/>
      <c r="AY277" s="14"/>
    </row>
    <row r="278" spans="5:51" customFormat="1">
      <c r="E278" s="1"/>
      <c r="F278" s="1"/>
      <c r="G278" s="1"/>
      <c r="T278" s="52"/>
      <c r="V278" s="52"/>
      <c r="W278" s="52"/>
      <c r="X278" s="52"/>
      <c r="Y278" s="52"/>
      <c r="Z278" s="52"/>
      <c r="AA278" s="52"/>
      <c r="AB278" s="52"/>
      <c r="AC278" s="52"/>
      <c r="AD278" s="52"/>
      <c r="AE278" s="52"/>
      <c r="AF278" s="52"/>
      <c r="AG278" s="52"/>
      <c r="AH278" s="52"/>
      <c r="AI278" s="52"/>
      <c r="AS278" s="14"/>
      <c r="AT278" s="14"/>
      <c r="AU278" s="14"/>
      <c r="AV278" s="14"/>
      <c r="AW278" s="14"/>
      <c r="AX278" s="14"/>
      <c r="AY278" s="14"/>
    </row>
    <row r="279" spans="5:51" customFormat="1">
      <c r="E279" s="1"/>
      <c r="F279" s="1"/>
      <c r="G279" s="1"/>
      <c r="T279" s="52"/>
      <c r="V279" s="52"/>
      <c r="W279" s="52"/>
      <c r="X279" s="52"/>
      <c r="Y279" s="52"/>
      <c r="Z279" s="52"/>
      <c r="AA279" s="52"/>
      <c r="AB279" s="52"/>
      <c r="AC279" s="52"/>
      <c r="AD279" s="52"/>
      <c r="AE279" s="52"/>
      <c r="AF279" s="52"/>
      <c r="AG279" s="52"/>
      <c r="AH279" s="52"/>
      <c r="AI279" s="52"/>
      <c r="AS279" s="14"/>
      <c r="AT279" s="14"/>
      <c r="AU279" s="14"/>
      <c r="AV279" s="14"/>
      <c r="AW279" s="14"/>
      <c r="AX279" s="14"/>
      <c r="AY279" s="14"/>
    </row>
    <row r="280" spans="5:51" customFormat="1">
      <c r="E280" s="1"/>
      <c r="F280" s="1"/>
      <c r="G280" s="1"/>
      <c r="T280" s="52"/>
      <c r="V280" s="52"/>
      <c r="W280" s="52"/>
      <c r="X280" s="52"/>
      <c r="Y280" s="52"/>
      <c r="Z280" s="52"/>
      <c r="AA280" s="52"/>
      <c r="AB280" s="52"/>
      <c r="AC280" s="52"/>
      <c r="AD280" s="52"/>
      <c r="AE280" s="52"/>
      <c r="AF280" s="52"/>
      <c r="AG280" s="52"/>
      <c r="AH280" s="52"/>
      <c r="AI280" s="52"/>
      <c r="AS280" s="14"/>
      <c r="AT280" s="14"/>
      <c r="AU280" s="14"/>
      <c r="AV280" s="14"/>
      <c r="AW280" s="14"/>
      <c r="AX280" s="14"/>
      <c r="AY280" s="14"/>
    </row>
    <row r="281" spans="5:51" customFormat="1">
      <c r="E281" s="1"/>
      <c r="F281" s="1"/>
      <c r="G281" s="1"/>
      <c r="T281" s="52"/>
      <c r="V281" s="52"/>
      <c r="W281" s="52"/>
      <c r="X281" s="52"/>
      <c r="Y281" s="52"/>
      <c r="Z281" s="52"/>
      <c r="AA281" s="52"/>
      <c r="AB281" s="52"/>
      <c r="AC281" s="52"/>
      <c r="AD281" s="52"/>
      <c r="AE281" s="52"/>
      <c r="AF281" s="52"/>
      <c r="AG281" s="52"/>
      <c r="AH281" s="52"/>
      <c r="AI281" s="52"/>
      <c r="AS281" s="14"/>
      <c r="AT281" s="14"/>
      <c r="AU281" s="14"/>
      <c r="AV281" s="14"/>
      <c r="AW281" s="14"/>
      <c r="AX281" s="14"/>
      <c r="AY281" s="14"/>
    </row>
    <row r="282" spans="5:51" customFormat="1">
      <c r="E282" s="1"/>
      <c r="F282" s="1"/>
      <c r="G282" s="1"/>
      <c r="T282" s="52"/>
      <c r="V282" s="52"/>
      <c r="W282" s="52"/>
      <c r="X282" s="52"/>
      <c r="Y282" s="52"/>
      <c r="Z282" s="52"/>
      <c r="AA282" s="52"/>
      <c r="AB282" s="52"/>
      <c r="AC282" s="52"/>
      <c r="AD282" s="52"/>
      <c r="AE282" s="52"/>
      <c r="AF282" s="52"/>
      <c r="AG282" s="52"/>
      <c r="AH282" s="52"/>
      <c r="AI282" s="52"/>
      <c r="AS282" s="14"/>
      <c r="AT282" s="14"/>
      <c r="AU282" s="14"/>
      <c r="AV282" s="14"/>
      <c r="AW282" s="14"/>
      <c r="AX282" s="14"/>
      <c r="AY282" s="14"/>
    </row>
    <row r="283" spans="5:51" customFormat="1">
      <c r="E283" s="1"/>
      <c r="F283" s="1"/>
      <c r="G283" s="1"/>
      <c r="T283" s="52"/>
      <c r="V283" s="52"/>
      <c r="W283" s="52"/>
      <c r="X283" s="52"/>
      <c r="Y283" s="52"/>
      <c r="Z283" s="52"/>
      <c r="AA283" s="52"/>
      <c r="AB283" s="52"/>
      <c r="AC283" s="52"/>
      <c r="AD283" s="52"/>
      <c r="AE283" s="52"/>
      <c r="AF283" s="52"/>
      <c r="AG283" s="52"/>
      <c r="AH283" s="52"/>
      <c r="AI283" s="52"/>
      <c r="AS283" s="14"/>
      <c r="AT283" s="14"/>
      <c r="AU283" s="14"/>
      <c r="AV283" s="14"/>
      <c r="AW283" s="14"/>
      <c r="AX283" s="14"/>
      <c r="AY283" s="14"/>
    </row>
    <row r="284" spans="5:51" customFormat="1">
      <c r="E284" s="1"/>
      <c r="F284" s="1"/>
      <c r="G284" s="1"/>
      <c r="T284" s="52"/>
      <c r="V284" s="52"/>
      <c r="W284" s="52"/>
      <c r="X284" s="52"/>
      <c r="Y284" s="52"/>
      <c r="Z284" s="52"/>
      <c r="AA284" s="52"/>
      <c r="AB284" s="52"/>
      <c r="AC284" s="52"/>
      <c r="AD284" s="52"/>
      <c r="AE284" s="52"/>
      <c r="AF284" s="52"/>
      <c r="AG284" s="52"/>
      <c r="AH284" s="52"/>
      <c r="AI284" s="52"/>
      <c r="AS284" s="14"/>
      <c r="AT284" s="14"/>
      <c r="AU284" s="14"/>
      <c r="AV284" s="14"/>
      <c r="AW284" s="14"/>
      <c r="AX284" s="14"/>
      <c r="AY284" s="14"/>
    </row>
    <row r="285" spans="5:51" customFormat="1">
      <c r="E285" s="1"/>
      <c r="F285" s="1"/>
      <c r="G285" s="1"/>
      <c r="T285" s="52"/>
      <c r="V285" s="52"/>
      <c r="W285" s="52"/>
      <c r="X285" s="52"/>
      <c r="Y285" s="52"/>
      <c r="Z285" s="52"/>
      <c r="AA285" s="52"/>
      <c r="AB285" s="52"/>
      <c r="AC285" s="52"/>
      <c r="AD285" s="52"/>
      <c r="AE285" s="52"/>
      <c r="AF285" s="52"/>
      <c r="AG285" s="52"/>
      <c r="AH285" s="52"/>
      <c r="AI285" s="52"/>
      <c r="AS285" s="14"/>
      <c r="AT285" s="14"/>
      <c r="AU285" s="14"/>
      <c r="AV285" s="14"/>
      <c r="AW285" s="14"/>
      <c r="AX285" s="14"/>
      <c r="AY285" s="14"/>
    </row>
    <row r="286" spans="5:51" customFormat="1">
      <c r="E286" s="1"/>
      <c r="F286" s="1"/>
      <c r="G286" s="1"/>
      <c r="T286" s="52"/>
      <c r="V286" s="52"/>
      <c r="W286" s="52"/>
      <c r="X286" s="52"/>
      <c r="Y286" s="52"/>
      <c r="Z286" s="52"/>
      <c r="AA286" s="52"/>
      <c r="AB286" s="52"/>
      <c r="AC286" s="52"/>
      <c r="AD286" s="52"/>
      <c r="AE286" s="52"/>
      <c r="AF286" s="52"/>
      <c r="AG286" s="52"/>
      <c r="AH286" s="52"/>
      <c r="AI286" s="52"/>
      <c r="AS286" s="14"/>
      <c r="AT286" s="14"/>
      <c r="AU286" s="14"/>
      <c r="AV286" s="14"/>
      <c r="AW286" s="14"/>
      <c r="AX286" s="14"/>
      <c r="AY286" s="14"/>
    </row>
    <row r="287" spans="5:51" customFormat="1">
      <c r="E287" s="1"/>
      <c r="F287" s="1"/>
      <c r="G287" s="1"/>
      <c r="T287" s="52"/>
      <c r="V287" s="52"/>
      <c r="W287" s="52"/>
      <c r="X287" s="52"/>
      <c r="Y287" s="52"/>
      <c r="Z287" s="52"/>
      <c r="AA287" s="52"/>
      <c r="AB287" s="52"/>
      <c r="AC287" s="52"/>
      <c r="AD287" s="52"/>
      <c r="AE287" s="52"/>
      <c r="AF287" s="52"/>
      <c r="AG287" s="52"/>
      <c r="AH287" s="52"/>
      <c r="AI287" s="52"/>
      <c r="AS287" s="14"/>
      <c r="AT287" s="14"/>
      <c r="AU287" s="14"/>
      <c r="AV287" s="14"/>
      <c r="AW287" s="14"/>
      <c r="AX287" s="14"/>
      <c r="AY287" s="14"/>
    </row>
    <row r="288" spans="5:51" customFormat="1">
      <c r="E288" s="1"/>
      <c r="F288" s="1"/>
      <c r="G288" s="1"/>
      <c r="T288" s="52"/>
      <c r="V288" s="52"/>
      <c r="W288" s="52"/>
      <c r="X288" s="52"/>
      <c r="Y288" s="52"/>
      <c r="Z288" s="52"/>
      <c r="AA288" s="52"/>
      <c r="AB288" s="52"/>
      <c r="AC288" s="52"/>
      <c r="AD288" s="52"/>
      <c r="AE288" s="52"/>
      <c r="AF288" s="52"/>
      <c r="AG288" s="52"/>
      <c r="AH288" s="52"/>
      <c r="AI288" s="52"/>
      <c r="AS288" s="14"/>
      <c r="AT288" s="14"/>
      <c r="AU288" s="14"/>
      <c r="AV288" s="14"/>
      <c r="AW288" s="14"/>
      <c r="AX288" s="14"/>
      <c r="AY288" s="14"/>
    </row>
  </sheetData>
  <sheetProtection algorithmName="SHA-512" hashValue="y5WzpfOkWMxAO1SpbgklIR18AlO9ZeUzA1/Zl2UIh+zMUfgfbm0ds427B2zfrjjr5JPbIf0tAVu49KhfZ4rNIA==" saltValue="OzCLbPt/uddDLDwXIwN/mQ==" spinCount="100000" sheet="1" objects="1" scenarios="1"/>
  <mergeCells count="23">
    <mergeCell ref="A1:C2"/>
    <mergeCell ref="A4:B4"/>
    <mergeCell ref="K5:N5"/>
    <mergeCell ref="H4:I4"/>
    <mergeCell ref="H5:I5"/>
    <mergeCell ref="K4:N4"/>
    <mergeCell ref="O5:P5"/>
    <mergeCell ref="E5:G5"/>
    <mergeCell ref="O4:P4"/>
    <mergeCell ref="AZ6:BF6"/>
    <mergeCell ref="N7:P7"/>
    <mergeCell ref="Q7:S7"/>
    <mergeCell ref="K7:M7"/>
    <mergeCell ref="X3:AB3"/>
    <mergeCell ref="X4:AB4"/>
    <mergeCell ref="E4:G4"/>
    <mergeCell ref="E3:I3"/>
    <mergeCell ref="K3:P3"/>
    <mergeCell ref="A101:J101"/>
    <mergeCell ref="BI7:BM7"/>
    <mergeCell ref="AR6:AX6"/>
    <mergeCell ref="E7:G7"/>
    <mergeCell ref="H7:J7"/>
  </mergeCells>
  <phoneticPr fontId="0" type="noConversion"/>
  <conditionalFormatting sqref="D9:D99">
    <cfRule type="cellIs" dxfId="12" priority="2" stopIfTrue="1" operator="greaterThan">
      <formula>"p1"</formula>
    </cfRule>
  </conditionalFormatting>
  <conditionalFormatting sqref="O5:P5">
    <cfRule type="cellIs" dxfId="11" priority="11" stopIfTrue="1" operator="greaterThan">
      <formula>$Q$5</formula>
    </cfRule>
  </conditionalFormatting>
  <conditionalFormatting sqref="U102:U167 U9:U98">
    <cfRule type="cellIs" dxfId="10" priority="5" stopIfTrue="1" operator="equal">
      <formula>"YES"</formula>
    </cfRule>
    <cfRule type="cellIs" dxfId="9" priority="6" stopIfTrue="1" operator="equal">
      <formula>"NO"</formula>
    </cfRule>
  </conditionalFormatting>
  <conditionalFormatting sqref="AE8:AG8 AB9:AB14 V9:AA15 AD10:AG10 AE11:AG11 AC14:AD14 AB15:AD15 AE15:AG16 AC19:AD19 AD20:AI20 AH21:AI21 AC21:AE22 AG22 AC26:AG26 U99:U100 W154:W166 V154:V167 X102:AA167 V102:W153 T9:T167 AI15 AI10 AB102:AI166 V16:AB101">
    <cfRule type="cellIs" dxfId="8" priority="1" stopIfTrue="1" operator="equal">
      <formula>"M"</formula>
    </cfRule>
  </conditionalFormatting>
  <pageMargins left="0.75" right="0.75" top="0.75" bottom="0.75" header="0.5" footer="0.5"/>
  <pageSetup scale="63" fitToHeight="5" orientation="landscape"/>
  <headerFooter alignWithMargins="0">
    <oddHeader>&amp;L&amp;"Berlin Sans FB Demi,Bold"&amp;12Site No: ____ ____ ____&amp;C&amp;"Berlin Sans FB Demi,Bold"&amp;12Subject ID: ____ ____ ____ ____&amp;R&amp;"Berlin Sans FB Demi,Bold"&amp;12Alpha Code: ____ ____ ____ ____</oddHeader>
    <oddFooter>&amp;L&amp;P&amp;CNCIG-002&amp;R&amp;D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indexed="21"/>
  </sheetPr>
  <dimension ref="A1:X23"/>
  <sheetViews>
    <sheetView zoomScale="85" workbookViewId="0">
      <selection activeCell="F34" sqref="F34"/>
    </sheetView>
  </sheetViews>
  <sheetFormatPr defaultColWidth="0" defaultRowHeight="12.95"/>
  <cols>
    <col min="1" max="1" width="12.85546875" style="2" customWidth="1"/>
    <col min="2" max="2" width="8.7109375" customWidth="1"/>
    <col min="3" max="4" width="8.42578125" customWidth="1"/>
    <col min="5" max="6" width="8.7109375" customWidth="1"/>
    <col min="7" max="7" width="8.42578125" customWidth="1"/>
    <col min="8" max="8" width="8.7109375" customWidth="1"/>
    <col min="9" max="9" width="8.42578125" customWidth="1"/>
    <col min="10" max="10" width="8.7109375" customWidth="1"/>
    <col min="11" max="11" width="8.42578125" customWidth="1"/>
    <col min="12" max="16" width="8.7109375" customWidth="1"/>
    <col min="17" max="17" width="12" customWidth="1"/>
    <col min="18" max="18" width="9.140625" hidden="1" customWidth="1"/>
  </cols>
  <sheetData>
    <row r="1" spans="1:24" ht="20.100000000000001" thickBot="1">
      <c r="A1" s="23"/>
      <c r="B1" s="353" t="s">
        <v>69</v>
      </c>
      <c r="C1" s="353"/>
      <c r="D1" s="353"/>
      <c r="E1" s="353"/>
      <c r="F1" s="353"/>
      <c r="G1" s="353"/>
      <c r="H1" s="353"/>
      <c r="I1" s="353"/>
      <c r="J1" s="353"/>
      <c r="K1" s="353"/>
      <c r="L1" s="353"/>
      <c r="M1" s="353"/>
      <c r="N1" s="353"/>
      <c r="O1" s="353"/>
      <c r="P1" s="353"/>
      <c r="Q1" s="354"/>
      <c r="S1" t="s">
        <v>70</v>
      </c>
    </row>
    <row r="2" spans="1:24" s="18" customFormat="1" ht="24" customHeight="1" thickBot="1">
      <c r="A2" s="76"/>
      <c r="B2" s="355" t="s">
        <v>71</v>
      </c>
      <c r="C2" s="355"/>
      <c r="D2" s="355"/>
      <c r="E2" s="355" t="s">
        <v>72</v>
      </c>
      <c r="F2" s="355"/>
      <c r="G2" s="355"/>
      <c r="H2" s="355" t="s">
        <v>73</v>
      </c>
      <c r="I2" s="355"/>
      <c r="J2" s="355"/>
      <c r="K2" s="355" t="s">
        <v>74</v>
      </c>
      <c r="L2" s="355"/>
      <c r="M2" s="355"/>
      <c r="N2" s="355" t="s">
        <v>75</v>
      </c>
      <c r="O2" s="355"/>
      <c r="P2" s="356"/>
      <c r="Q2" s="31"/>
      <c r="R2" s="17"/>
    </row>
    <row r="3" spans="1:24" s="20" customFormat="1" ht="41.25" customHeight="1">
      <c r="A3" s="77" t="s">
        <v>21</v>
      </c>
      <c r="B3" s="74" t="s">
        <v>24</v>
      </c>
      <c r="C3" s="74" t="s">
        <v>25</v>
      </c>
      <c r="D3" s="74" t="s">
        <v>76</v>
      </c>
      <c r="E3" s="74" t="s">
        <v>24</v>
      </c>
      <c r="F3" s="74" t="s">
        <v>25</v>
      </c>
      <c r="G3" s="74" t="s">
        <v>77</v>
      </c>
      <c r="H3" s="74" t="s">
        <v>24</v>
      </c>
      <c r="I3" s="74" t="s">
        <v>25</v>
      </c>
      <c r="J3" s="74" t="s">
        <v>76</v>
      </c>
      <c r="K3" s="74" t="s">
        <v>24</v>
      </c>
      <c r="L3" s="74" t="s">
        <v>25</v>
      </c>
      <c r="M3" s="74" t="s">
        <v>76</v>
      </c>
      <c r="N3" s="74" t="s">
        <v>24</v>
      </c>
      <c r="O3" s="74" t="s">
        <v>27</v>
      </c>
      <c r="P3" s="78" t="s">
        <v>77</v>
      </c>
      <c r="Q3" s="75" t="s">
        <v>28</v>
      </c>
      <c r="R3" s="19"/>
    </row>
    <row r="4" spans="1:24">
      <c r="A4" s="79" t="s">
        <v>78</v>
      </c>
      <c r="B4" s="24">
        <v>0</v>
      </c>
      <c r="C4" s="24"/>
      <c r="D4" s="24"/>
      <c r="E4" s="24"/>
      <c r="F4" s="24"/>
      <c r="G4" s="24"/>
      <c r="H4" s="24"/>
      <c r="I4" s="24"/>
      <c r="J4" s="24"/>
      <c r="K4" s="24"/>
      <c r="L4" s="24"/>
      <c r="M4" s="24"/>
      <c r="N4" s="24"/>
      <c r="O4" s="24"/>
      <c r="P4" s="28"/>
      <c r="Q4" s="96" t="str">
        <f>IF(X4=0,"M",((B4*C4)*D4/0.6) + ((E4*F4)*G4/0.6) +((H4*I4)*J4/0.6) +((K4*L4)*M4/0.6) + ((N4*O4)*P4/0.6))</f>
        <v>M</v>
      </c>
      <c r="S4" s="11" t="str">
        <f>IF(OR(B4="",C4="",D4=""),"M",1)</f>
        <v>M</v>
      </c>
      <c r="T4" s="11" t="str">
        <f>IF(OR(E4="",F4="",G4=""),"M",1)</f>
        <v>M</v>
      </c>
      <c r="U4" s="11" t="str">
        <f>IF(OR(H4="",I4="",J4=""),"M",1)</f>
        <v>M</v>
      </c>
      <c r="V4" s="11" t="str">
        <f>IF(OR(K4="",L4="",M4=""),"M",1)</f>
        <v>M</v>
      </c>
      <c r="W4" s="11" t="str">
        <f>IF(OR(N4="",O4="",P4=""),"M",1)</f>
        <v>M</v>
      </c>
      <c r="X4" s="11">
        <f>IF(AND(S4="M",T4="M",U4="M",V4="M",W4="M"),0,1)</f>
        <v>0</v>
      </c>
    </row>
    <row r="5" spans="1:24">
      <c r="A5" s="80" t="s">
        <v>79</v>
      </c>
      <c r="B5" s="24">
        <v>0</v>
      </c>
      <c r="C5" s="24"/>
      <c r="D5" s="24"/>
      <c r="E5" s="24"/>
      <c r="F5" s="24"/>
      <c r="G5" s="24"/>
      <c r="H5" s="24"/>
      <c r="I5" s="24"/>
      <c r="J5" s="24"/>
      <c r="K5" s="24"/>
      <c r="L5" s="24"/>
      <c r="M5" s="24"/>
      <c r="N5" s="24"/>
      <c r="O5" s="24"/>
      <c r="P5" s="28"/>
      <c r="Q5" s="96" t="str">
        <f t="shared" ref="Q5:Q10" si="0">IF(X5=0,"M",((B5*C5)*D5/0.6) + ((E5*F5)*G5/0.6) +((H5*I5)*J5/0.6) +((K5*L5)*M5/0.6) + ((N5*O5)*P5/0.6))</f>
        <v>M</v>
      </c>
      <c r="S5" s="11" t="str">
        <f t="shared" ref="S5:S10" si="1">IF(OR(B5="",C5="",D5=""),"M",1)</f>
        <v>M</v>
      </c>
      <c r="T5" s="11" t="str">
        <f t="shared" ref="T5:T10" si="2">IF(OR(E5="",F5="",G5=""),"M",1)</f>
        <v>M</v>
      </c>
      <c r="U5" s="11" t="str">
        <f t="shared" ref="U5:U10" si="3">IF(OR(H5="",I5="",J5=""),"M",1)</f>
        <v>M</v>
      </c>
      <c r="V5" s="11" t="str">
        <f t="shared" ref="V5:V10" si="4">IF(OR(K5="",L5="",M5=""),"M",1)</f>
        <v>M</v>
      </c>
      <c r="W5" s="11" t="str">
        <f t="shared" ref="W5:W10" si="5">IF(OR(N5="",O5="",P5=""),"M",1)</f>
        <v>M</v>
      </c>
      <c r="X5" s="11">
        <f t="shared" ref="X5:X10" si="6">IF(AND(S5="M",T5="M",U5="M",V5="M",W5="M"),0,1)</f>
        <v>0</v>
      </c>
    </row>
    <row r="6" spans="1:24">
      <c r="A6" s="79" t="s">
        <v>80</v>
      </c>
      <c r="B6" s="24">
        <v>1</v>
      </c>
      <c r="C6" s="24">
        <v>8.5</v>
      </c>
      <c r="D6" s="24">
        <v>0.05</v>
      </c>
      <c r="E6" s="24"/>
      <c r="F6" s="24"/>
      <c r="G6" s="24"/>
      <c r="H6" s="24"/>
      <c r="I6" s="24"/>
      <c r="J6" s="24"/>
      <c r="K6" s="24"/>
      <c r="L6" s="24"/>
      <c r="M6" s="24"/>
      <c r="N6" s="24"/>
      <c r="O6" s="24"/>
      <c r="P6" s="28"/>
      <c r="Q6" s="96">
        <f t="shared" si="0"/>
        <v>0.70833333333333348</v>
      </c>
      <c r="S6" s="11">
        <f t="shared" si="1"/>
        <v>1</v>
      </c>
      <c r="T6" s="11" t="str">
        <f t="shared" si="2"/>
        <v>M</v>
      </c>
      <c r="U6" s="11" t="str">
        <f t="shared" si="3"/>
        <v>M</v>
      </c>
      <c r="V6" s="11" t="str">
        <f t="shared" si="4"/>
        <v>M</v>
      </c>
      <c r="W6" s="11" t="str">
        <f t="shared" si="5"/>
        <v>M</v>
      </c>
      <c r="X6" s="11">
        <f t="shared" si="6"/>
        <v>1</v>
      </c>
    </row>
    <row r="7" spans="1:24">
      <c r="A7" s="80" t="s">
        <v>81</v>
      </c>
      <c r="B7" s="24">
        <v>0</v>
      </c>
      <c r="C7" s="24"/>
      <c r="D7" s="24"/>
      <c r="E7" s="24"/>
      <c r="F7" s="24"/>
      <c r="G7" s="24"/>
      <c r="H7" s="24"/>
      <c r="I7" s="24"/>
      <c r="J7" s="24"/>
      <c r="K7" s="24"/>
      <c r="L7" s="24"/>
      <c r="M7" s="24"/>
      <c r="N7" s="24"/>
      <c r="O7" s="24"/>
      <c r="P7" s="28"/>
      <c r="Q7" s="96" t="str">
        <f t="shared" si="0"/>
        <v>M</v>
      </c>
      <c r="S7" s="11" t="str">
        <f t="shared" si="1"/>
        <v>M</v>
      </c>
      <c r="T7" s="11" t="str">
        <f t="shared" si="2"/>
        <v>M</v>
      </c>
      <c r="U7" s="11" t="str">
        <f t="shared" si="3"/>
        <v>M</v>
      </c>
      <c r="V7" s="11" t="str">
        <f t="shared" si="4"/>
        <v>M</v>
      </c>
      <c r="W7" s="11" t="str">
        <f t="shared" si="5"/>
        <v>M</v>
      </c>
      <c r="X7" s="11">
        <f t="shared" si="6"/>
        <v>0</v>
      </c>
    </row>
    <row r="8" spans="1:24">
      <c r="A8" s="79" t="s">
        <v>82</v>
      </c>
      <c r="B8" s="24">
        <v>0</v>
      </c>
      <c r="C8" s="24"/>
      <c r="D8" s="24"/>
      <c r="E8" s="24"/>
      <c r="F8" s="24"/>
      <c r="G8" s="24"/>
      <c r="H8" s="24"/>
      <c r="I8" s="24"/>
      <c r="J8" s="24"/>
      <c r="K8" s="24"/>
      <c r="L8" s="24"/>
      <c r="M8" s="24"/>
      <c r="N8" s="24"/>
      <c r="O8" s="24"/>
      <c r="P8" s="28"/>
      <c r="Q8" s="96" t="str">
        <f t="shared" si="0"/>
        <v>M</v>
      </c>
      <c r="S8" s="11" t="str">
        <f t="shared" si="1"/>
        <v>M</v>
      </c>
      <c r="T8" s="11" t="str">
        <f t="shared" si="2"/>
        <v>M</v>
      </c>
      <c r="U8" s="11" t="str">
        <f t="shared" si="3"/>
        <v>M</v>
      </c>
      <c r="V8" s="11" t="str">
        <f t="shared" si="4"/>
        <v>M</v>
      </c>
      <c r="W8" s="11" t="str">
        <f t="shared" si="5"/>
        <v>M</v>
      </c>
      <c r="X8" s="11">
        <f t="shared" si="6"/>
        <v>0</v>
      </c>
    </row>
    <row r="9" spans="1:24">
      <c r="A9" s="80" t="s">
        <v>83</v>
      </c>
      <c r="B9" s="24">
        <v>1</v>
      </c>
      <c r="C9" s="24">
        <v>8.5</v>
      </c>
      <c r="D9" s="24">
        <v>0.05</v>
      </c>
      <c r="E9" s="24"/>
      <c r="F9" s="24"/>
      <c r="G9" s="24"/>
      <c r="H9" s="24"/>
      <c r="I9" s="24"/>
      <c r="J9" s="24"/>
      <c r="K9" s="24"/>
      <c r="L9" s="24"/>
      <c r="M9" s="24"/>
      <c r="N9" s="24"/>
      <c r="O9" s="24"/>
      <c r="P9" s="28"/>
      <c r="Q9" s="96">
        <f t="shared" si="0"/>
        <v>0.70833333333333348</v>
      </c>
      <c r="S9" s="11">
        <f t="shared" si="1"/>
        <v>1</v>
      </c>
      <c r="T9" s="11" t="str">
        <f t="shared" si="2"/>
        <v>M</v>
      </c>
      <c r="U9" s="11" t="str">
        <f t="shared" si="3"/>
        <v>M</v>
      </c>
      <c r="V9" s="11" t="str">
        <f t="shared" si="4"/>
        <v>M</v>
      </c>
      <c r="W9" s="11" t="str">
        <f t="shared" si="5"/>
        <v>M</v>
      </c>
      <c r="X9" s="11">
        <f t="shared" si="6"/>
        <v>1</v>
      </c>
    </row>
    <row r="10" spans="1:24" ht="14.1" thickBot="1">
      <c r="A10" s="81" t="s">
        <v>84</v>
      </c>
      <c r="B10" s="82"/>
      <c r="C10" s="82"/>
      <c r="D10" s="82"/>
      <c r="E10" s="82"/>
      <c r="F10" s="82"/>
      <c r="G10" s="82"/>
      <c r="H10" s="82"/>
      <c r="I10" s="82"/>
      <c r="J10" s="82"/>
      <c r="K10" s="82"/>
      <c r="L10" s="82"/>
      <c r="M10" s="82"/>
      <c r="N10" s="82"/>
      <c r="O10" s="82"/>
      <c r="P10" s="83"/>
      <c r="Q10" s="96" t="str">
        <f t="shared" si="0"/>
        <v>M</v>
      </c>
      <c r="S10" s="11" t="str">
        <f t="shared" si="1"/>
        <v>M</v>
      </c>
      <c r="T10" s="11" t="str">
        <f t="shared" si="2"/>
        <v>M</v>
      </c>
      <c r="U10" s="11" t="str">
        <f t="shared" si="3"/>
        <v>M</v>
      </c>
      <c r="V10" s="11" t="str">
        <f t="shared" si="4"/>
        <v>M</v>
      </c>
      <c r="W10" s="11" t="str">
        <f t="shared" si="5"/>
        <v>M</v>
      </c>
      <c r="X10" s="11">
        <f t="shared" si="6"/>
        <v>0</v>
      </c>
    </row>
    <row r="12" spans="1:24" hidden="1"/>
    <row r="13" spans="1:24" hidden="1"/>
    <row r="14" spans="1:24" ht="18.95" hidden="1">
      <c r="A14" s="23"/>
      <c r="B14" s="353" t="s">
        <v>85</v>
      </c>
      <c r="C14" s="353"/>
      <c r="D14" s="353"/>
      <c r="E14" s="353"/>
      <c r="F14" s="353"/>
      <c r="G14" s="353"/>
      <c r="H14" s="353"/>
      <c r="I14" s="353"/>
      <c r="J14" s="353"/>
      <c r="K14" s="353"/>
      <c r="L14" s="353"/>
      <c r="M14" s="353"/>
      <c r="N14" s="353"/>
      <c r="O14" s="353"/>
      <c r="P14" s="353"/>
      <c r="Q14" s="354"/>
    </row>
    <row r="15" spans="1:24" s="18" customFormat="1" ht="24" hidden="1" customHeight="1">
      <c r="A15" s="35"/>
      <c r="B15" s="358" t="s">
        <v>71</v>
      </c>
      <c r="C15" s="358"/>
      <c r="D15" s="358"/>
      <c r="E15" s="359" t="s">
        <v>86</v>
      </c>
      <c r="F15" s="359"/>
      <c r="G15" s="359"/>
      <c r="H15" s="360" t="s">
        <v>73</v>
      </c>
      <c r="I15" s="360"/>
      <c r="J15" s="360"/>
      <c r="K15" s="361" t="s">
        <v>74</v>
      </c>
      <c r="L15" s="361"/>
      <c r="M15" s="361"/>
      <c r="N15" s="357" t="s">
        <v>87</v>
      </c>
      <c r="O15" s="357"/>
      <c r="P15" s="357"/>
      <c r="Q15" s="41"/>
      <c r="R15" s="17"/>
    </row>
    <row r="16" spans="1:24" s="20" customFormat="1" ht="39.75" hidden="1" customHeight="1">
      <c r="A16" s="36" t="s">
        <v>21</v>
      </c>
      <c r="B16" s="32" t="s">
        <v>24</v>
      </c>
      <c r="C16" s="32" t="s">
        <v>25</v>
      </c>
      <c r="D16" s="32" t="s">
        <v>76</v>
      </c>
      <c r="E16" s="33" t="s">
        <v>24</v>
      </c>
      <c r="F16" s="33" t="s">
        <v>25</v>
      </c>
      <c r="G16" s="33" t="s">
        <v>77</v>
      </c>
      <c r="H16" s="39" t="s">
        <v>24</v>
      </c>
      <c r="I16" s="39" t="s">
        <v>25</v>
      </c>
      <c r="J16" s="39" t="s">
        <v>76</v>
      </c>
      <c r="K16" s="40" t="s">
        <v>24</v>
      </c>
      <c r="L16" s="40" t="s">
        <v>25</v>
      </c>
      <c r="M16" s="40" t="s">
        <v>76</v>
      </c>
      <c r="N16" s="34" t="s">
        <v>24</v>
      </c>
      <c r="O16" s="34" t="s">
        <v>25</v>
      </c>
      <c r="P16" s="34" t="s">
        <v>77</v>
      </c>
      <c r="Q16" s="32" t="s">
        <v>28</v>
      </c>
      <c r="R16" s="19"/>
    </row>
    <row r="17" spans="1:17" hidden="1">
      <c r="A17" s="37" t="s">
        <v>78</v>
      </c>
      <c r="B17" s="24"/>
      <c r="C17" s="24"/>
      <c r="D17" s="24"/>
      <c r="E17" s="24"/>
      <c r="F17" s="24"/>
      <c r="G17" s="24"/>
      <c r="H17" s="24"/>
      <c r="I17" s="24"/>
      <c r="J17" s="24"/>
      <c r="K17" s="24"/>
      <c r="L17" s="24"/>
      <c r="M17" s="24"/>
      <c r="N17" s="24"/>
      <c r="O17" s="24"/>
      <c r="P17" s="24"/>
      <c r="Q17" s="42">
        <f t="shared" ref="Q17:Q23" si="7">((B17*C17)*D17/0.5) + ((E17*F17)*G17/0.5) +((H17*I17)*J17/0.5) +((K17*L17)*M17/0.5) + ((N17*O17)*P17/0.5)</f>
        <v>0</v>
      </c>
    </row>
    <row r="18" spans="1:17" hidden="1">
      <c r="A18" s="38" t="s">
        <v>79</v>
      </c>
      <c r="B18" s="24"/>
      <c r="C18" s="24"/>
      <c r="D18" s="24"/>
      <c r="E18" s="24"/>
      <c r="F18" s="24"/>
      <c r="G18" s="24"/>
      <c r="H18" s="24"/>
      <c r="I18" s="24"/>
      <c r="J18" s="24"/>
      <c r="K18" s="24"/>
      <c r="L18" s="24"/>
      <c r="M18" s="24"/>
      <c r="N18" s="24"/>
      <c r="O18" s="24"/>
      <c r="P18" s="24"/>
      <c r="Q18" s="42">
        <f t="shared" si="7"/>
        <v>0</v>
      </c>
    </row>
    <row r="19" spans="1:17" hidden="1">
      <c r="A19" s="37" t="s">
        <v>80</v>
      </c>
      <c r="B19" s="24"/>
      <c r="C19" s="24"/>
      <c r="D19" s="24"/>
      <c r="E19" s="24"/>
      <c r="F19" s="24"/>
      <c r="G19" s="24"/>
      <c r="H19" s="24"/>
      <c r="I19" s="24"/>
      <c r="J19" s="24"/>
      <c r="K19" s="24"/>
      <c r="L19" s="24"/>
      <c r="M19" s="24"/>
      <c r="N19" s="24"/>
      <c r="O19" s="24"/>
      <c r="P19" s="24"/>
      <c r="Q19" s="42">
        <f t="shared" si="7"/>
        <v>0</v>
      </c>
    </row>
    <row r="20" spans="1:17" hidden="1">
      <c r="A20" s="38" t="s">
        <v>81</v>
      </c>
      <c r="B20" s="24"/>
      <c r="C20" s="24"/>
      <c r="D20" s="24"/>
      <c r="E20" s="24"/>
      <c r="F20" s="24"/>
      <c r="G20" s="24"/>
      <c r="H20" s="24"/>
      <c r="I20" s="24"/>
      <c r="J20" s="24"/>
      <c r="K20" s="24"/>
      <c r="L20" s="24"/>
      <c r="M20" s="24"/>
      <c r="N20" s="24"/>
      <c r="O20" s="24"/>
      <c r="P20" s="24"/>
      <c r="Q20" s="42">
        <f t="shared" si="7"/>
        <v>0</v>
      </c>
    </row>
    <row r="21" spans="1:17" hidden="1">
      <c r="A21" s="37" t="s">
        <v>82</v>
      </c>
      <c r="B21" s="24"/>
      <c r="C21" s="24"/>
      <c r="D21" s="24"/>
      <c r="E21" s="24"/>
      <c r="F21" s="24"/>
      <c r="G21" s="24"/>
      <c r="H21" s="24"/>
      <c r="I21" s="24"/>
      <c r="J21" s="24"/>
      <c r="K21" s="24"/>
      <c r="L21" s="24"/>
      <c r="M21" s="24"/>
      <c r="N21" s="24"/>
      <c r="O21" s="24"/>
      <c r="P21" s="24"/>
      <c r="Q21" s="42">
        <f t="shared" si="7"/>
        <v>0</v>
      </c>
    </row>
    <row r="22" spans="1:17" hidden="1">
      <c r="A22" s="38" t="s">
        <v>83</v>
      </c>
      <c r="B22" s="24"/>
      <c r="C22" s="24"/>
      <c r="D22" s="24"/>
      <c r="E22" s="24"/>
      <c r="F22" s="24"/>
      <c r="G22" s="24"/>
      <c r="H22" s="24"/>
      <c r="I22" s="24"/>
      <c r="J22" s="24"/>
      <c r="K22" s="24"/>
      <c r="L22" s="24"/>
      <c r="M22" s="24"/>
      <c r="N22" s="24"/>
      <c r="O22" s="24"/>
      <c r="P22" s="24"/>
      <c r="Q22" s="42">
        <f t="shared" si="7"/>
        <v>0</v>
      </c>
    </row>
    <row r="23" spans="1:17" hidden="1">
      <c r="A23" s="37" t="s">
        <v>84</v>
      </c>
      <c r="B23" s="24"/>
      <c r="C23" s="24"/>
      <c r="D23" s="24"/>
      <c r="E23" s="24"/>
      <c r="F23" s="24"/>
      <c r="G23" s="24"/>
      <c r="H23" s="24"/>
      <c r="I23" s="24"/>
      <c r="J23" s="24"/>
      <c r="K23" s="24"/>
      <c r="L23" s="24"/>
      <c r="M23" s="24"/>
      <c r="N23" s="24"/>
      <c r="O23" s="24"/>
      <c r="P23" s="24"/>
      <c r="Q23" s="42">
        <f t="shared" si="7"/>
        <v>0</v>
      </c>
    </row>
  </sheetData>
  <sheetProtection password="8144" sheet="1" objects="1" scenarios="1"/>
  <mergeCells count="12">
    <mergeCell ref="B1:Q1"/>
    <mergeCell ref="N2:P2"/>
    <mergeCell ref="N15:P15"/>
    <mergeCell ref="B14:Q14"/>
    <mergeCell ref="B2:D2"/>
    <mergeCell ref="B15:D15"/>
    <mergeCell ref="E15:G15"/>
    <mergeCell ref="H15:J15"/>
    <mergeCell ref="K15:M15"/>
    <mergeCell ref="E2:G2"/>
    <mergeCell ref="H2:J2"/>
    <mergeCell ref="K2:M2"/>
  </mergeCells>
  <phoneticPr fontId="17" type="noConversion"/>
  <conditionalFormatting sqref="Q4:Q10">
    <cfRule type="cellIs" dxfId="7" priority="1" stopIfTrue="1" operator="equal">
      <formula>"M"</formula>
    </cfRule>
  </conditionalFormatting>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1:I37"/>
  <sheetViews>
    <sheetView zoomScale="122" zoomScaleNormal="122" workbookViewId="0">
      <selection activeCell="C13" sqref="C13:E13"/>
    </sheetView>
  </sheetViews>
  <sheetFormatPr defaultColWidth="8.85546875" defaultRowHeight="12.95"/>
  <cols>
    <col min="1" max="1" width="4.140625" customWidth="1"/>
    <col min="2" max="2" width="85.42578125" customWidth="1"/>
    <col min="3" max="3" width="4.7109375" customWidth="1"/>
    <col min="4" max="4" width="15.42578125" customWidth="1"/>
    <col min="5" max="5" width="10.7109375" customWidth="1"/>
    <col min="6" max="6" width="3.42578125" customWidth="1"/>
    <col min="7" max="7" width="12.28515625" customWidth="1"/>
  </cols>
  <sheetData>
    <row r="1" spans="2:9" ht="20.25" customHeight="1">
      <c r="B1" s="3"/>
      <c r="C1" s="3"/>
      <c r="D1" s="3"/>
      <c r="E1" s="3"/>
      <c r="F1" s="3"/>
    </row>
    <row r="2" spans="2:9" ht="12.75" customHeight="1">
      <c r="B2" s="362" t="s">
        <v>88</v>
      </c>
      <c r="C2" s="363"/>
      <c r="D2" s="363"/>
      <c r="E2" s="363"/>
      <c r="F2" s="3"/>
    </row>
    <row r="3" spans="2:9">
      <c r="B3" s="363"/>
      <c r="C3" s="363"/>
      <c r="D3" s="363"/>
      <c r="E3" s="363"/>
      <c r="F3" s="3"/>
    </row>
    <row r="4" spans="2:9" ht="14.1" thickBot="1">
      <c r="B4" s="3"/>
      <c r="C4" s="3"/>
      <c r="D4" s="3"/>
      <c r="E4" s="3"/>
      <c r="F4" s="3"/>
    </row>
    <row r="5" spans="2:9" ht="15.95">
      <c r="B5" s="410"/>
      <c r="C5" s="411"/>
      <c r="D5" s="116" t="s">
        <v>89</v>
      </c>
      <c r="E5" s="117">
        <f>Calculator!H4</f>
        <v>1</v>
      </c>
      <c r="F5" s="3"/>
    </row>
    <row r="6" spans="2:9" ht="17.100000000000001" thickBot="1">
      <c r="B6" s="412"/>
      <c r="C6" s="413"/>
      <c r="D6" s="118"/>
      <c r="E6" s="115" t="str">
        <f>IF(Calculator!H5="","",IF(Calculator!H5=1,"MALE","FEMALE"))</f>
        <v>FEMALE</v>
      </c>
      <c r="F6" s="3"/>
      <c r="I6" t="s">
        <v>90</v>
      </c>
    </row>
    <row r="7" spans="2:9" ht="18.95" thickBot="1">
      <c r="B7" s="3"/>
      <c r="C7" s="3"/>
      <c r="D7" s="100"/>
      <c r="E7" s="101"/>
      <c r="F7" s="3"/>
    </row>
    <row r="8" spans="2:9">
      <c r="B8" s="364" t="str">
        <f>Calculator!BQ9</f>
        <v>There are 84 days of missing drinking data in 90-day screening assessment period. Missing Baseline screening data must be collected prior to randomization.</v>
      </c>
      <c r="C8" s="365"/>
      <c r="D8" s="365"/>
      <c r="E8" s="366"/>
      <c r="F8" s="3"/>
    </row>
    <row r="9" spans="2:9" ht="28.5" customHeight="1" thickBot="1">
      <c r="B9" s="367"/>
      <c r="C9" s="368"/>
      <c r="D9" s="368"/>
      <c r="E9" s="369"/>
      <c r="F9" s="3"/>
    </row>
    <row r="10" spans="2:9" ht="14.1" thickBot="1">
      <c r="B10" s="3"/>
      <c r="C10" s="374"/>
      <c r="D10" s="374"/>
      <c r="E10" s="61"/>
      <c r="F10" s="310"/>
    </row>
    <row r="11" spans="2:9" ht="9" customHeight="1" thickBot="1">
      <c r="B11" s="311"/>
      <c r="C11" s="375"/>
      <c r="D11" s="376"/>
      <c r="E11" s="377"/>
      <c r="F11" s="310"/>
    </row>
    <row r="12" spans="2:9" ht="42.75" customHeight="1" thickBot="1">
      <c r="B12" s="279" t="s">
        <v>91</v>
      </c>
      <c r="C12" s="370" t="str">
        <f>IF(Calculator!BQ16&gt;0,"MISSING DATA",Calculator!AF8)</f>
        <v>MISSING DATA</v>
      </c>
      <c r="D12" s="371"/>
      <c r="E12" s="372"/>
      <c r="F12" s="310"/>
    </row>
    <row r="13" spans="2:9" ht="42.75" customHeight="1" thickBot="1">
      <c r="B13" s="279" t="s">
        <v>92</v>
      </c>
      <c r="C13" s="373" t="str">
        <f>IF(Calculator!BQ16&gt;0,"MISSING DATA",90-Calculator!X104)</f>
        <v>MISSING DATA</v>
      </c>
      <c r="D13" s="371"/>
      <c r="E13" s="372"/>
      <c r="F13" s="310"/>
    </row>
    <row r="14" spans="2:9" ht="42.75" customHeight="1" thickBot="1">
      <c r="B14" s="279" t="s">
        <v>93</v>
      </c>
      <c r="C14" s="373" t="str">
        <f>IF(Calculator!BQ16&gt;0,"MISSSING DATA",IF(Calculator!AB98&gt;0,"Yes","No"))</f>
        <v>MISSSING DATA</v>
      </c>
      <c r="D14" s="371"/>
      <c r="E14" s="372"/>
      <c r="F14" s="310"/>
    </row>
    <row r="15" spans="2:9" ht="42.75" customHeight="1">
      <c r="B15" s="312"/>
      <c r="C15" s="282"/>
      <c r="D15" s="3"/>
      <c r="E15" s="3"/>
      <c r="F15" s="310"/>
    </row>
    <row r="16" spans="2:9" ht="42.75" customHeight="1">
      <c r="B16" s="312"/>
      <c r="C16" s="282"/>
      <c r="D16" s="282"/>
      <c r="E16" s="282"/>
      <c r="F16" s="310"/>
    </row>
    <row r="17" spans="2:6" ht="6.75" customHeight="1">
      <c r="B17" s="3"/>
      <c r="C17" s="284"/>
      <c r="D17" s="284"/>
      <c r="E17" s="285"/>
      <c r="F17" s="310"/>
    </row>
    <row r="18" spans="2:6" ht="42.75" customHeight="1">
      <c r="B18" s="312"/>
      <c r="C18" s="282"/>
      <c r="D18" s="284"/>
      <c r="E18" s="285"/>
      <c r="F18" s="310"/>
    </row>
    <row r="19" spans="2:6" ht="42.75" customHeight="1">
      <c r="B19" s="281"/>
      <c r="C19" s="282"/>
      <c r="D19" s="284"/>
      <c r="E19" s="286"/>
      <c r="F19" s="283"/>
    </row>
    <row r="20" spans="2:6" ht="42.75" customHeight="1">
      <c r="B20" s="281"/>
      <c r="C20" s="282"/>
      <c r="D20" s="284"/>
      <c r="E20" s="287"/>
    </row>
    <row r="21" spans="2:6" ht="12.75" customHeight="1">
      <c r="C21" s="288"/>
      <c r="D21" s="289"/>
      <c r="E21" s="290"/>
    </row>
    <row r="22" spans="2:6" ht="12.75" customHeight="1">
      <c r="C22" s="288"/>
      <c r="D22" s="289"/>
      <c r="E22" s="290"/>
    </row>
    <row r="23" spans="2:6" ht="7.5" customHeight="1">
      <c r="C23" s="291"/>
      <c r="D23" s="291"/>
      <c r="E23" s="5"/>
    </row>
    <row r="24" spans="2:6" ht="42.75" customHeight="1">
      <c r="B24" s="281"/>
      <c r="C24" s="282"/>
    </row>
    <row r="25" spans="2:6" ht="42.75" customHeight="1">
      <c r="B25" s="281"/>
      <c r="C25" s="282"/>
    </row>
    <row r="26" spans="2:6" ht="42.75" customHeight="1">
      <c r="B26" s="281"/>
      <c r="C26" s="282"/>
    </row>
    <row r="27" spans="2:6" ht="42.75" customHeight="1">
      <c r="B27" s="281"/>
      <c r="C27" s="282"/>
    </row>
    <row r="28" spans="2:6" ht="42.75" customHeight="1">
      <c r="B28" s="281"/>
      <c r="C28" s="282"/>
      <c r="D28" s="282"/>
      <c r="E28" s="282"/>
    </row>
    <row r="29" spans="2:6" ht="9" customHeight="1">
      <c r="C29" s="284"/>
      <c r="D29" s="284"/>
      <c r="E29" s="285"/>
    </row>
    <row r="30" spans="2:6" ht="42.75" customHeight="1">
      <c r="B30" s="281"/>
      <c r="C30" s="282"/>
      <c r="D30" s="284"/>
      <c r="E30" s="285"/>
    </row>
    <row r="31" spans="2:6" ht="42.75" customHeight="1">
      <c r="B31" s="281"/>
      <c r="C31" s="282"/>
      <c r="D31" s="284"/>
      <c r="E31" s="286"/>
    </row>
    <row r="32" spans="2:6" ht="42.75" customHeight="1">
      <c r="B32" s="281"/>
      <c r="C32" s="282"/>
      <c r="D32" s="284"/>
      <c r="E32" s="287"/>
    </row>
    <row r="33" spans="3:5" ht="31.5" customHeight="1">
      <c r="C33" s="12"/>
      <c r="D33" s="12"/>
      <c r="E33" s="12"/>
    </row>
    <row r="37" spans="3:5" ht="18">
      <c r="C37" s="95"/>
      <c r="D37" s="12"/>
      <c r="E37" s="12"/>
    </row>
  </sheetData>
  <sheetProtection algorithmName="SHA-512" hashValue="FyX4KR5eLrz+a0h8ysN81kDjSWEqCPKL9ksKbBb3bahQYn+NiuZl7WWtMoMvAWw0T958hMtMVwrHQzKgWZRTVw==" saltValue="7Kd+azjGF8W2M1kar0Q3SA==" spinCount="100000" sheet="1" objects="1" scenarios="1"/>
  <mergeCells count="8">
    <mergeCell ref="B2:E3"/>
    <mergeCell ref="B5:C6"/>
    <mergeCell ref="B8:E9"/>
    <mergeCell ref="C12:E12"/>
    <mergeCell ref="C14:E14"/>
    <mergeCell ref="C13:E13"/>
    <mergeCell ref="C10:D10"/>
    <mergeCell ref="C11:E11"/>
  </mergeCells>
  <phoneticPr fontId="0" type="noConversion"/>
  <pageMargins left="0.75" right="0.75" top="1" bottom="1" header="0.5" footer="0.5"/>
  <pageSetup scale="65" orientation="portrait"/>
  <headerFooter alignWithMargins="0">
    <oddHeader xml:space="preserve">&amp;C&amp;"Berlin Sans FB Demi,Bold"&amp;12
</oddHeader>
  </headerFooter>
  <rowBreaks count="2" manualBreakCount="2">
    <brk id="32" max="16383" man="1"/>
    <brk id="34"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indexed="62"/>
  </sheetPr>
  <dimension ref="A1:IA288"/>
  <sheetViews>
    <sheetView zoomScale="123" zoomScaleNormal="123" workbookViewId="0">
      <pane xSplit="3" ySplit="8" topLeftCell="T10" activePane="bottomRight" state="frozen"/>
      <selection pane="bottomRight" activeCell="T10" sqref="T10"/>
      <selection pane="bottomLeft" activeCell="A9" sqref="A9"/>
      <selection pane="topRight" activeCell="D1" sqref="D1"/>
    </sheetView>
  </sheetViews>
  <sheetFormatPr defaultColWidth="9.140625" defaultRowHeight="15.95"/>
  <cols>
    <col min="1" max="1" width="11.85546875" style="29" customWidth="1"/>
    <col min="2" max="2" width="12.28515625" style="29" customWidth="1"/>
    <col min="3" max="3" width="13" style="29" customWidth="1"/>
    <col min="4" max="4" width="9" style="29" customWidth="1"/>
    <col min="5" max="7" width="7.85546875" style="59" customWidth="1"/>
    <col min="8" max="19" width="7.85546875" style="29" customWidth="1"/>
    <col min="20" max="20" width="10.7109375" style="16" customWidth="1"/>
    <col min="21" max="21" width="10.7109375" style="29" customWidth="1"/>
    <col min="22" max="22" width="7" style="119" customWidth="1"/>
    <col min="23" max="23" width="13.140625" style="185" hidden="1" customWidth="1"/>
    <col min="24" max="24" width="14.85546875" style="185" hidden="1" customWidth="1"/>
    <col min="25" max="27" width="13.140625" style="185" hidden="1" customWidth="1"/>
    <col min="28" max="28" width="14.42578125" style="185" hidden="1" customWidth="1"/>
    <col min="29" max="29" width="11.7109375" style="185" hidden="1" customWidth="1"/>
    <col min="30" max="30" width="13.85546875" style="185" hidden="1" customWidth="1"/>
    <col min="31" max="32" width="13.28515625" style="185" hidden="1" customWidth="1"/>
    <col min="33" max="33" width="22.42578125" style="185" hidden="1" customWidth="1"/>
    <col min="34" max="34" width="17.7109375" style="185" hidden="1" customWidth="1"/>
    <col min="35" max="35" width="18.28515625" style="177" hidden="1" customWidth="1"/>
    <col min="36" max="36" width="11.42578125" style="177" hidden="1" customWidth="1"/>
    <col min="37" max="37" width="10.7109375" style="177" hidden="1" customWidth="1"/>
    <col min="38" max="38" width="11" style="177" hidden="1" customWidth="1"/>
    <col min="39" max="39" width="24.140625" style="177" hidden="1" customWidth="1"/>
    <col min="40" max="40" width="24.42578125" style="177" hidden="1" customWidth="1"/>
    <col min="41" max="41" width="2.42578125" style="177" hidden="1" customWidth="1"/>
    <col min="42" max="42" width="18.7109375" style="177" hidden="1" customWidth="1"/>
    <col min="43" max="43" width="8.42578125" style="177" hidden="1" customWidth="1"/>
    <col min="44" max="44" width="9" style="178" hidden="1" customWidth="1"/>
    <col min="45" max="45" width="8.140625" style="178" hidden="1" customWidth="1"/>
    <col min="46" max="46" width="7.85546875" style="178" hidden="1" customWidth="1"/>
    <col min="47" max="47" width="7" style="178" hidden="1" customWidth="1"/>
    <col min="48" max="48" width="7.85546875" style="178" hidden="1" customWidth="1"/>
    <col min="49" max="49" width="8.140625" style="178" hidden="1" customWidth="1"/>
    <col min="50" max="50" width="3" style="178" hidden="1" customWidth="1"/>
    <col min="51" max="51" width="8.7109375" style="177" hidden="1" customWidth="1"/>
    <col min="52" max="52" width="9.28515625" style="177" hidden="1" customWidth="1"/>
    <col min="53" max="53" width="8.42578125" style="177" hidden="1" customWidth="1"/>
    <col min="54" max="54" width="8.140625" style="177" hidden="1" customWidth="1"/>
    <col min="55" max="55" width="7.28515625" style="177" hidden="1" customWidth="1"/>
    <col min="56" max="56" width="8.140625" style="177" hidden="1" customWidth="1"/>
    <col min="57" max="57" width="8.42578125" style="177" hidden="1" customWidth="1"/>
    <col min="58" max="59" width="11.42578125" style="177" hidden="1" customWidth="1"/>
    <col min="60" max="64" width="6.7109375" style="177" hidden="1" customWidth="1"/>
    <col min="65" max="65" width="21" style="177" hidden="1" customWidth="1"/>
    <col min="66" max="66" width="3.42578125" style="177" hidden="1" customWidth="1"/>
    <col min="67" max="67" width="3" style="177" hidden="1" customWidth="1"/>
    <col min="68" max="68" width="148.140625" style="177" hidden="1" customWidth="1"/>
    <col min="69" max="100" width="10.85546875" style="177" hidden="1" customWidth="1"/>
    <col min="101" max="106" width="10.85546875" style="177" customWidth="1"/>
    <col min="107" max="235" width="9.140625" style="177" customWidth="1"/>
    <col min="236" max="408" width="9.140625" style="29" customWidth="1"/>
    <col min="409" max="16384" width="9.140625" style="29"/>
  </cols>
  <sheetData>
    <row r="1" spans="1:235" ht="18.95">
      <c r="A1" s="339" t="s">
        <v>0</v>
      </c>
      <c r="B1" s="340"/>
      <c r="C1" s="341"/>
      <c r="D1" s="4"/>
      <c r="E1" s="1"/>
      <c r="F1" s="50"/>
      <c r="G1" s="50"/>
      <c r="H1" s="50"/>
      <c r="I1"/>
      <c r="J1" s="50" t="s">
        <v>1</v>
      </c>
      <c r="K1" s="50"/>
      <c r="L1" s="50"/>
      <c r="M1" s="50"/>
      <c r="N1" s="50"/>
      <c r="O1" s="50"/>
      <c r="P1" s="50"/>
      <c r="Q1" s="50"/>
      <c r="R1" s="50"/>
      <c r="S1" s="50"/>
      <c r="T1" s="50"/>
      <c r="U1"/>
      <c r="V1" s="50"/>
      <c r="W1" s="176"/>
      <c r="X1" s="176"/>
      <c r="Y1" s="176"/>
      <c r="Z1" s="176"/>
      <c r="AA1" s="176"/>
      <c r="AB1" s="176"/>
      <c r="AC1" s="176"/>
      <c r="AD1" s="176"/>
      <c r="AE1" s="176"/>
      <c r="AF1" s="176"/>
      <c r="AG1" s="176"/>
      <c r="AH1" s="176"/>
      <c r="AR1" s="177"/>
      <c r="AS1" s="177"/>
      <c r="AY1" s="178"/>
      <c r="AZ1" s="178"/>
    </row>
    <row r="2" spans="1:235" ht="17.100000000000001" thickBot="1">
      <c r="A2" s="342"/>
      <c r="B2" s="343"/>
      <c r="C2" s="344"/>
      <c r="D2" s="4"/>
      <c r="E2" s="51"/>
      <c r="F2" s="51"/>
      <c r="G2" s="51"/>
      <c r="H2" s="51"/>
      <c r="I2" s="51"/>
      <c r="J2" s="51"/>
      <c r="K2" s="51"/>
      <c r="L2" s="51"/>
      <c r="M2" s="51"/>
      <c r="N2" s="51"/>
      <c r="O2" s="51"/>
      <c r="P2" s="51"/>
      <c r="Q2" s="51"/>
      <c r="R2" s="51"/>
      <c r="S2" s="51"/>
      <c r="T2" s="51"/>
      <c r="U2"/>
      <c r="V2" s="51"/>
      <c r="W2" s="179"/>
      <c r="X2" s="179"/>
      <c r="Y2" s="179"/>
      <c r="Z2" s="179"/>
      <c r="AA2" s="179"/>
      <c r="AB2" s="179"/>
      <c r="AC2" s="179"/>
      <c r="AD2" s="179"/>
      <c r="AE2" s="179"/>
      <c r="AF2" s="179"/>
      <c r="AG2" s="179"/>
      <c r="AH2" s="179"/>
      <c r="AR2" s="177"/>
      <c r="AS2" s="177"/>
      <c r="AY2" s="178"/>
      <c r="AZ2" s="178"/>
    </row>
    <row r="3" spans="1:235" ht="17.100000000000001" thickBot="1">
      <c r="A3"/>
      <c r="B3" s="4"/>
      <c r="C3" s="4"/>
      <c r="D3" s="1"/>
      <c r="E3" s="329" t="s">
        <v>2</v>
      </c>
      <c r="F3" s="330"/>
      <c r="G3" s="330"/>
      <c r="H3" s="330"/>
      <c r="I3" s="331"/>
      <c r="J3" s="26"/>
      <c r="K3" s="332" t="s">
        <v>3</v>
      </c>
      <c r="L3" s="333"/>
      <c r="M3" s="333"/>
      <c r="N3" s="333"/>
      <c r="O3" s="333"/>
      <c r="P3" s="334"/>
      <c r="Q3" s="10"/>
      <c r="R3" s="6"/>
      <c r="S3" s="10"/>
      <c r="T3" s="5"/>
      <c r="U3"/>
      <c r="V3" s="5"/>
      <c r="W3" s="321" t="s">
        <v>4</v>
      </c>
      <c r="X3" s="322"/>
      <c r="Y3" s="322"/>
      <c r="Z3" s="322"/>
      <c r="AA3" s="323"/>
      <c r="AB3" s="180"/>
      <c r="AC3" s="181"/>
      <c r="AD3" s="181"/>
      <c r="AE3" s="181"/>
      <c r="AF3" s="181"/>
      <c r="AG3" s="181"/>
      <c r="AH3" s="181"/>
      <c r="AR3" s="177"/>
      <c r="AY3" s="178"/>
    </row>
    <row r="4" spans="1:235" ht="31.5" customHeight="1" thickBot="1">
      <c r="A4" s="345" t="s">
        <v>5</v>
      </c>
      <c r="B4" s="346"/>
      <c r="C4" s="58"/>
      <c r="D4" s="6"/>
      <c r="E4" s="326" t="s">
        <v>7</v>
      </c>
      <c r="F4" s="327"/>
      <c r="G4" s="328"/>
      <c r="H4" s="349"/>
      <c r="I4" s="350"/>
      <c r="J4" s="6"/>
      <c r="K4" s="351" t="s">
        <v>8</v>
      </c>
      <c r="L4" s="352"/>
      <c r="M4" s="352"/>
      <c r="N4" s="352"/>
      <c r="O4" s="337"/>
      <c r="P4" s="338"/>
      <c r="Q4" s="25"/>
      <c r="R4" s="4"/>
      <c r="S4"/>
      <c r="T4" s="52"/>
      <c r="U4"/>
      <c r="V4" s="56"/>
      <c r="W4" s="324" t="s">
        <v>9</v>
      </c>
      <c r="X4" s="325"/>
      <c r="Y4" s="325"/>
      <c r="Z4" s="325"/>
      <c r="AA4" s="323"/>
      <c r="AB4" s="182">
        <f>O5-O4</f>
        <v>0</v>
      </c>
      <c r="AC4" s="183"/>
      <c r="AD4" s="183"/>
      <c r="AE4" s="183"/>
      <c r="AF4" s="183"/>
      <c r="AG4" s="183"/>
      <c r="AH4" s="183"/>
      <c r="AR4" s="177"/>
      <c r="AY4" s="178"/>
    </row>
    <row r="5" spans="1:235" ht="31.5" customHeight="1" thickBot="1">
      <c r="A5"/>
      <c r="B5" s="4"/>
      <c r="C5" s="4"/>
      <c r="D5" s="1"/>
      <c r="E5" s="326" t="s">
        <v>10</v>
      </c>
      <c r="F5" s="327"/>
      <c r="G5" s="328"/>
      <c r="H5" s="349"/>
      <c r="I5" s="350"/>
      <c r="J5" s="6"/>
      <c r="K5" s="347"/>
      <c r="L5" s="348"/>
      <c r="M5" s="348"/>
      <c r="N5" s="348"/>
      <c r="O5" s="335"/>
      <c r="P5" s="336"/>
      <c r="Q5" s="173">
        <f>O4+45</f>
        <v>45</v>
      </c>
      <c r="R5"/>
      <c r="S5"/>
      <c r="T5" s="4"/>
      <c r="U5" s="240"/>
      <c r="V5" s="57"/>
      <c r="W5" s="184"/>
      <c r="X5" s="184"/>
      <c r="Y5" s="184"/>
      <c r="Z5" s="184"/>
      <c r="AA5" s="184"/>
      <c r="AB5" s="184"/>
      <c r="AC5" s="184"/>
      <c r="AD5" s="184"/>
      <c r="AE5" s="184"/>
      <c r="AF5" s="184"/>
      <c r="AG5" s="184"/>
      <c r="AH5" s="184"/>
      <c r="AR5" s="177"/>
      <c r="AY5" s="178"/>
    </row>
    <row r="6" spans="1:235" ht="17.100000000000001" thickBot="1">
      <c r="A6" s="4"/>
      <c r="B6" s="4"/>
      <c r="C6" s="27"/>
      <c r="D6" s="15"/>
      <c r="E6" s="15"/>
      <c r="F6" s="15"/>
      <c r="G6" s="4"/>
      <c r="H6" s="4"/>
      <c r="I6" s="4"/>
      <c r="J6" s="4"/>
      <c r="K6" s="4"/>
      <c r="L6" s="4"/>
      <c r="M6" s="4"/>
      <c r="N6" s="4"/>
      <c r="O6" s="4"/>
      <c r="P6" s="4"/>
      <c r="Q6" s="4"/>
      <c r="R6" s="4"/>
      <c r="S6" s="4"/>
      <c r="T6" s="52"/>
      <c r="U6"/>
      <c r="V6" s="52"/>
      <c r="W6" s="234"/>
      <c r="X6" s="234"/>
      <c r="Y6" s="234"/>
      <c r="Z6" s="234"/>
      <c r="AA6" s="234"/>
      <c r="AB6" s="234"/>
      <c r="AC6" s="234"/>
      <c r="AD6" s="234"/>
      <c r="AE6" s="234"/>
      <c r="AF6" s="234"/>
      <c r="AG6" s="234"/>
      <c r="AH6" s="234"/>
      <c r="AK6" s="186"/>
      <c r="AL6" s="186"/>
      <c r="AM6" s="186"/>
      <c r="AN6" s="186"/>
      <c r="AO6" s="186"/>
      <c r="AP6" s="186"/>
      <c r="AQ6" s="317" t="s">
        <v>12</v>
      </c>
      <c r="AR6" s="317"/>
      <c r="AS6" s="317"/>
      <c r="AT6" s="317"/>
      <c r="AU6" s="317"/>
      <c r="AV6" s="317"/>
      <c r="AW6" s="317"/>
      <c r="AX6" s="187"/>
      <c r="AY6" s="317" t="s">
        <v>13</v>
      </c>
      <c r="AZ6" s="317"/>
      <c r="BA6" s="317"/>
      <c r="BB6" s="317"/>
      <c r="BC6" s="317"/>
      <c r="BD6" s="317"/>
      <c r="BE6" s="317"/>
      <c r="BH6" s="186"/>
      <c r="BI6" s="186"/>
      <c r="BJ6" s="186"/>
      <c r="BK6" s="186"/>
      <c r="BL6" s="186"/>
      <c r="BM6" s="186"/>
      <c r="BN6" s="186"/>
      <c r="BO6" s="186"/>
      <c r="BP6" s="186"/>
    </row>
    <row r="7" spans="1:235" s="123" customFormat="1" ht="24" customHeight="1" thickBot="1">
      <c r="A7" s="97"/>
      <c r="B7" s="98"/>
      <c r="C7" s="98"/>
      <c r="D7" s="99"/>
      <c r="E7" s="318" t="s">
        <v>14</v>
      </c>
      <c r="F7" s="319"/>
      <c r="G7" s="320"/>
      <c r="H7" s="318" t="s">
        <v>15</v>
      </c>
      <c r="I7" s="319"/>
      <c r="J7" s="320"/>
      <c r="K7" s="318" t="s">
        <v>16</v>
      </c>
      <c r="L7" s="319"/>
      <c r="M7" s="320"/>
      <c r="N7" s="318" t="s">
        <v>17</v>
      </c>
      <c r="O7" s="319"/>
      <c r="P7" s="320"/>
      <c r="Q7" s="318" t="s">
        <v>18</v>
      </c>
      <c r="R7" s="319"/>
      <c r="S7" s="320"/>
      <c r="T7" s="165"/>
      <c r="U7" s="120"/>
      <c r="V7" s="122"/>
      <c r="W7" s="188"/>
      <c r="X7" s="188"/>
      <c r="Y7" s="188"/>
      <c r="Z7" s="188"/>
      <c r="AA7" s="189"/>
      <c r="AB7" s="189"/>
      <c r="AC7" s="189"/>
      <c r="AD7" s="189"/>
      <c r="AE7" s="189"/>
      <c r="AF7" s="189"/>
      <c r="AG7" s="189"/>
      <c r="AH7" s="189"/>
      <c r="AI7" s="190"/>
      <c r="AJ7" s="191"/>
      <c r="AK7" s="192"/>
      <c r="AL7" s="192"/>
      <c r="AM7" s="192"/>
      <c r="AN7" s="192"/>
      <c r="AO7" s="193"/>
      <c r="AP7" s="192"/>
      <c r="AQ7" s="194">
        <v>2</v>
      </c>
      <c r="AR7" s="194">
        <v>3</v>
      </c>
      <c r="AS7" s="194">
        <v>4</v>
      </c>
      <c r="AT7" s="194">
        <v>5</v>
      </c>
      <c r="AU7" s="194">
        <v>6</v>
      </c>
      <c r="AV7" s="194">
        <v>7</v>
      </c>
      <c r="AW7" s="194">
        <v>1</v>
      </c>
      <c r="AX7" s="193"/>
      <c r="AY7" s="194">
        <v>2</v>
      </c>
      <c r="AZ7" s="194">
        <v>3</v>
      </c>
      <c r="BA7" s="194">
        <v>4</v>
      </c>
      <c r="BB7" s="194">
        <v>5</v>
      </c>
      <c r="BC7" s="194">
        <v>6</v>
      </c>
      <c r="BD7" s="194">
        <v>7</v>
      </c>
      <c r="BE7" s="194">
        <v>1</v>
      </c>
      <c r="BF7" s="191"/>
      <c r="BG7" s="191"/>
      <c r="BH7" s="314" t="s">
        <v>19</v>
      </c>
      <c r="BI7" s="315"/>
      <c r="BJ7" s="315"/>
      <c r="BK7" s="315"/>
      <c r="BL7" s="316"/>
      <c r="BM7" s="195"/>
      <c r="BN7" s="195"/>
      <c r="BO7" s="195"/>
      <c r="BP7" s="195"/>
      <c r="BQ7" s="191"/>
      <c r="BR7" s="191"/>
      <c r="BS7" s="191"/>
      <c r="BT7" s="191"/>
      <c r="BU7" s="191"/>
      <c r="BV7" s="191"/>
      <c r="BW7" s="191"/>
      <c r="BX7" s="191"/>
      <c r="BY7" s="191"/>
      <c r="BZ7" s="191"/>
      <c r="CA7" s="191"/>
      <c r="CB7" s="191"/>
      <c r="CC7" s="191"/>
      <c r="CD7" s="191"/>
      <c r="CE7" s="191"/>
      <c r="CF7" s="191"/>
      <c r="CG7" s="191"/>
      <c r="CH7" s="191"/>
      <c r="CI7" s="191"/>
      <c r="CJ7" s="191"/>
      <c r="CK7" s="191"/>
      <c r="CL7" s="191"/>
      <c r="CM7" s="191"/>
      <c r="CN7" s="191"/>
      <c r="CO7" s="191"/>
      <c r="CP7" s="191"/>
      <c r="CQ7" s="191"/>
      <c r="CR7" s="191"/>
      <c r="CS7" s="191"/>
      <c r="CT7" s="191"/>
      <c r="CU7" s="191"/>
      <c r="CV7" s="191"/>
      <c r="CW7" s="191"/>
      <c r="CX7" s="191"/>
      <c r="CY7" s="191"/>
      <c r="CZ7" s="191"/>
      <c r="DA7" s="191"/>
      <c r="DB7" s="191"/>
      <c r="DC7" s="191"/>
      <c r="DD7" s="191"/>
      <c r="DE7" s="191"/>
      <c r="DF7" s="191"/>
      <c r="DG7" s="191"/>
      <c r="DH7" s="191"/>
      <c r="DI7" s="191"/>
      <c r="DJ7" s="191"/>
      <c r="DK7" s="191"/>
      <c r="DL7" s="191"/>
      <c r="DM7" s="191"/>
      <c r="DN7" s="191"/>
      <c r="DO7" s="191"/>
      <c r="DP7" s="191"/>
      <c r="DQ7" s="191"/>
      <c r="DR7" s="191"/>
      <c r="DS7" s="191"/>
      <c r="DT7" s="191"/>
      <c r="DU7" s="191"/>
      <c r="DV7" s="191"/>
      <c r="DW7" s="191"/>
      <c r="DX7" s="191"/>
      <c r="DY7" s="191"/>
      <c r="DZ7" s="191"/>
      <c r="EA7" s="191"/>
      <c r="EB7" s="191"/>
      <c r="EC7" s="191"/>
      <c r="ED7" s="191"/>
      <c r="EE7" s="191"/>
      <c r="EF7" s="191"/>
      <c r="EG7" s="191"/>
      <c r="EH7" s="191"/>
      <c r="EI7" s="191"/>
      <c r="EJ7" s="191"/>
      <c r="EK7" s="191"/>
      <c r="EL7" s="191"/>
      <c r="EM7" s="191"/>
      <c r="EN7" s="191"/>
      <c r="EO7" s="191"/>
      <c r="EP7" s="191"/>
      <c r="EQ7" s="191"/>
      <c r="ER7" s="191"/>
      <c r="ES7" s="191"/>
      <c r="ET7" s="191"/>
      <c r="EU7" s="191"/>
      <c r="EV7" s="191"/>
      <c r="EW7" s="191"/>
      <c r="EX7" s="191"/>
      <c r="EY7" s="191"/>
      <c r="EZ7" s="191"/>
      <c r="FA7" s="191"/>
      <c r="FB7" s="191"/>
      <c r="FC7" s="191"/>
      <c r="FD7" s="191"/>
      <c r="FE7" s="191"/>
      <c r="FF7" s="191"/>
      <c r="FG7" s="191"/>
      <c r="FH7" s="191"/>
      <c r="FI7" s="191"/>
      <c r="FJ7" s="191"/>
      <c r="FK7" s="191"/>
      <c r="FL7" s="191"/>
      <c r="FM7" s="191"/>
      <c r="FN7" s="191"/>
      <c r="FO7" s="191"/>
      <c r="FP7" s="191"/>
      <c r="FQ7" s="191"/>
      <c r="FR7" s="191"/>
      <c r="FS7" s="191"/>
      <c r="FT7" s="191"/>
      <c r="FU7" s="191"/>
      <c r="FV7" s="191"/>
      <c r="FW7" s="191"/>
      <c r="FX7" s="191"/>
      <c r="FY7" s="191"/>
      <c r="FZ7" s="191"/>
      <c r="GA7" s="191"/>
      <c r="GB7" s="191"/>
      <c r="GC7" s="191"/>
      <c r="GD7" s="191"/>
      <c r="GE7" s="191"/>
      <c r="GF7" s="191"/>
      <c r="GG7" s="191"/>
      <c r="GH7" s="191"/>
      <c r="GI7" s="191"/>
      <c r="GJ7" s="191"/>
      <c r="GK7" s="191"/>
      <c r="GL7" s="191"/>
      <c r="GM7" s="191"/>
      <c r="GN7" s="191"/>
      <c r="GO7" s="191"/>
      <c r="GP7" s="191"/>
      <c r="GQ7" s="191"/>
      <c r="GR7" s="191"/>
      <c r="GS7" s="191"/>
      <c r="GT7" s="191"/>
      <c r="GU7" s="191"/>
      <c r="GV7" s="191"/>
      <c r="GW7" s="191"/>
      <c r="GX7" s="191"/>
      <c r="GY7" s="191"/>
      <c r="GZ7" s="191"/>
      <c r="HA7" s="191"/>
      <c r="HB7" s="191"/>
      <c r="HC7" s="191"/>
      <c r="HD7" s="191"/>
      <c r="HE7" s="191"/>
      <c r="HF7" s="191"/>
      <c r="HG7" s="191"/>
      <c r="HH7" s="191"/>
      <c r="HI7" s="191"/>
      <c r="HJ7" s="191"/>
      <c r="HK7" s="191"/>
      <c r="HL7" s="191"/>
      <c r="HM7" s="191"/>
      <c r="HN7" s="191"/>
      <c r="HO7" s="191"/>
      <c r="HP7" s="191"/>
      <c r="HQ7" s="191"/>
      <c r="HR7" s="191"/>
      <c r="HS7" s="191"/>
      <c r="HT7" s="191"/>
      <c r="HU7" s="191"/>
      <c r="HV7" s="191"/>
      <c r="HW7" s="191"/>
      <c r="HX7" s="191"/>
      <c r="HY7" s="191"/>
      <c r="HZ7" s="191"/>
      <c r="IA7" s="191"/>
    </row>
    <row r="8" spans="1:235" s="126" customFormat="1" ht="60.75" customHeight="1" thickBot="1">
      <c r="A8" s="294" t="s">
        <v>20</v>
      </c>
      <c r="B8" s="295" t="s">
        <v>21</v>
      </c>
      <c r="C8" s="295" t="s">
        <v>22</v>
      </c>
      <c r="D8" s="171" t="s">
        <v>23</v>
      </c>
      <c r="E8" s="170" t="s">
        <v>24</v>
      </c>
      <c r="F8" s="172" t="s">
        <v>25</v>
      </c>
      <c r="G8" s="171" t="s">
        <v>26</v>
      </c>
      <c r="H8" s="170" t="s">
        <v>24</v>
      </c>
      <c r="I8" s="172" t="s">
        <v>25</v>
      </c>
      <c r="J8" s="171" t="s">
        <v>26</v>
      </c>
      <c r="K8" s="170" t="s">
        <v>24</v>
      </c>
      <c r="L8" s="172" t="s">
        <v>25</v>
      </c>
      <c r="M8" s="171" t="s">
        <v>26</v>
      </c>
      <c r="N8" s="170" t="s">
        <v>24</v>
      </c>
      <c r="O8" s="172" t="s">
        <v>25</v>
      </c>
      <c r="P8" s="171" t="s">
        <v>26</v>
      </c>
      <c r="Q8" s="170" t="s">
        <v>24</v>
      </c>
      <c r="R8" s="172" t="s">
        <v>27</v>
      </c>
      <c r="S8" s="171" t="s">
        <v>26</v>
      </c>
      <c r="T8" s="166" t="s">
        <v>28</v>
      </c>
      <c r="U8" s="124" t="s">
        <v>94</v>
      </c>
      <c r="V8" s="125"/>
      <c r="W8" s="196" t="s">
        <v>95</v>
      </c>
      <c r="X8" s="251"/>
      <c r="Y8" s="251"/>
      <c r="Z8" s="251"/>
      <c r="AA8" s="252"/>
      <c r="AB8" s="253"/>
      <c r="AC8" s="254"/>
      <c r="AD8" s="197" t="s">
        <v>34</v>
      </c>
      <c r="AE8" s="198">
        <f>T104/W104</f>
        <v>0</v>
      </c>
      <c r="AF8" s="198"/>
      <c r="AG8" s="199" t="str">
        <f>CONCATENATE("The subject has consumed an average of ",AE8," drinks per day in the 90 days prior to consent")</f>
        <v>The subject has consumed an average of 0 drinks per day in the 90 days prior to consent</v>
      </c>
      <c r="AH8" s="200"/>
      <c r="AI8" s="201"/>
      <c r="AJ8" s="202"/>
      <c r="AK8" s="203" t="s">
        <v>35</v>
      </c>
      <c r="AL8" s="203" t="s">
        <v>36</v>
      </c>
      <c r="AM8" s="204" t="s">
        <v>37</v>
      </c>
      <c r="AN8" s="204" t="s">
        <v>38</v>
      </c>
      <c r="AO8" s="205"/>
      <c r="AP8" s="206" t="s">
        <v>39</v>
      </c>
      <c r="AQ8" s="206" t="s">
        <v>40</v>
      </c>
      <c r="AR8" s="206" t="s">
        <v>41</v>
      </c>
      <c r="AS8" s="206" t="s">
        <v>42</v>
      </c>
      <c r="AT8" s="206" t="s">
        <v>43</v>
      </c>
      <c r="AU8" s="206" t="s">
        <v>44</v>
      </c>
      <c r="AV8" s="206" t="s">
        <v>45</v>
      </c>
      <c r="AW8" s="206" t="s">
        <v>46</v>
      </c>
      <c r="AX8" s="205"/>
      <c r="AY8" s="206" t="s">
        <v>47</v>
      </c>
      <c r="AZ8" s="206" t="s">
        <v>48</v>
      </c>
      <c r="BA8" s="206" t="s">
        <v>49</v>
      </c>
      <c r="BB8" s="206" t="s">
        <v>50</v>
      </c>
      <c r="BC8" s="206" t="s">
        <v>51</v>
      </c>
      <c r="BD8" s="206" t="s">
        <v>52</v>
      </c>
      <c r="BE8" s="206" t="s">
        <v>53</v>
      </c>
      <c r="BF8" s="200"/>
      <c r="BG8" s="200"/>
      <c r="BH8" s="207" t="s">
        <v>54</v>
      </c>
      <c r="BI8" s="207" t="s">
        <v>55</v>
      </c>
      <c r="BJ8" s="207" t="s">
        <v>56</v>
      </c>
      <c r="BK8" s="207" t="s">
        <v>57</v>
      </c>
      <c r="BL8" s="207" t="s">
        <v>58</v>
      </c>
      <c r="BM8" s="206" t="s">
        <v>59</v>
      </c>
      <c r="BN8" s="207"/>
      <c r="BO8" s="207"/>
      <c r="BP8" s="207" t="s">
        <v>60</v>
      </c>
      <c r="BQ8" s="200"/>
      <c r="BR8" s="200"/>
      <c r="BS8" s="200"/>
      <c r="BT8" s="200"/>
      <c r="BU8" s="200"/>
      <c r="BV8" s="200"/>
      <c r="BW8" s="200"/>
      <c r="BX8" s="200"/>
      <c r="BY8" s="200"/>
      <c r="BZ8" s="200"/>
      <c r="CA8" s="200"/>
      <c r="CB8" s="200"/>
      <c r="CC8" s="200"/>
      <c r="CD8" s="200"/>
      <c r="CE8" s="200"/>
      <c r="CF8" s="200"/>
      <c r="CG8" s="200"/>
      <c r="CH8" s="200"/>
      <c r="CI8" s="200"/>
      <c r="CJ8" s="200"/>
      <c r="CK8" s="200"/>
      <c r="CL8" s="200"/>
      <c r="CM8" s="200"/>
      <c r="CN8" s="200"/>
      <c r="CO8" s="200"/>
      <c r="CP8" s="200"/>
      <c r="CQ8" s="200"/>
      <c r="CR8" s="200"/>
      <c r="CS8" s="200"/>
      <c r="CT8" s="200"/>
      <c r="CU8" s="200"/>
      <c r="CV8" s="200"/>
      <c r="CW8" s="200"/>
      <c r="CX8" s="200"/>
      <c r="CY8" s="200"/>
      <c r="CZ8" s="200"/>
      <c r="DA8" s="200"/>
      <c r="DB8" s="200"/>
      <c r="DC8" s="200"/>
      <c r="DD8" s="200"/>
      <c r="DE8" s="200"/>
      <c r="DF8" s="200"/>
      <c r="DG8" s="200"/>
      <c r="DH8" s="200"/>
      <c r="DI8" s="200"/>
      <c r="DJ8" s="200"/>
      <c r="DK8" s="200"/>
      <c r="DL8" s="200"/>
      <c r="DM8" s="200"/>
      <c r="DN8" s="200"/>
      <c r="DO8" s="200"/>
      <c r="DP8" s="200"/>
      <c r="DQ8" s="200"/>
      <c r="DR8" s="200"/>
      <c r="DS8" s="200"/>
      <c r="DT8" s="200"/>
      <c r="DU8" s="200"/>
      <c r="DV8" s="200"/>
      <c r="DW8" s="200"/>
      <c r="DX8" s="200"/>
      <c r="DY8" s="200"/>
      <c r="DZ8" s="200"/>
      <c r="EA8" s="200"/>
      <c r="EB8" s="200"/>
      <c r="EC8" s="200"/>
      <c r="ED8" s="200"/>
      <c r="EE8" s="200"/>
      <c r="EF8" s="200"/>
      <c r="EG8" s="200"/>
      <c r="EH8" s="200"/>
      <c r="EI8" s="200"/>
      <c r="EJ8" s="200"/>
      <c r="EK8" s="200"/>
      <c r="EL8" s="200"/>
      <c r="EM8" s="200"/>
      <c r="EN8" s="200"/>
      <c r="EO8" s="200"/>
      <c r="EP8" s="200"/>
      <c r="EQ8" s="200"/>
      <c r="ER8" s="200"/>
      <c r="ES8" s="200"/>
      <c r="ET8" s="200"/>
      <c r="EU8" s="200"/>
      <c r="EV8" s="200"/>
      <c r="EW8" s="200"/>
      <c r="EX8" s="200"/>
      <c r="EY8" s="200"/>
      <c r="EZ8" s="200"/>
      <c r="FA8" s="200"/>
      <c r="FB8" s="200"/>
      <c r="FC8" s="200"/>
      <c r="FD8" s="200"/>
      <c r="FE8" s="200"/>
      <c r="FF8" s="200"/>
      <c r="FG8" s="200"/>
      <c r="FH8" s="200"/>
      <c r="FI8" s="200"/>
      <c r="FJ8" s="200"/>
      <c r="FK8" s="200"/>
      <c r="FL8" s="200"/>
      <c r="FM8" s="200"/>
      <c r="FN8" s="200"/>
      <c r="FO8" s="200"/>
      <c r="FP8" s="200"/>
      <c r="FQ8" s="200"/>
      <c r="FR8" s="200"/>
      <c r="FS8" s="200"/>
      <c r="FT8" s="200"/>
      <c r="FU8" s="200"/>
      <c r="FV8" s="200"/>
      <c r="FW8" s="200"/>
      <c r="FX8" s="200"/>
      <c r="FY8" s="200"/>
      <c r="FZ8" s="200"/>
      <c r="GA8" s="200"/>
      <c r="GB8" s="200"/>
      <c r="GC8" s="200"/>
      <c r="GD8" s="200"/>
      <c r="GE8" s="200"/>
      <c r="GF8" s="200"/>
      <c r="GG8" s="200"/>
      <c r="GH8" s="200"/>
      <c r="GI8" s="200"/>
      <c r="GJ8" s="200"/>
      <c r="GK8" s="200"/>
      <c r="GL8" s="200"/>
      <c r="GM8" s="200"/>
      <c r="GN8" s="200"/>
      <c r="GO8" s="200"/>
      <c r="GP8" s="200"/>
      <c r="GQ8" s="200"/>
      <c r="GR8" s="200"/>
      <c r="GS8" s="200"/>
      <c r="GT8" s="200"/>
      <c r="GU8" s="200"/>
      <c r="GV8" s="200"/>
      <c r="GW8" s="200"/>
      <c r="GX8" s="200"/>
      <c r="GY8" s="200"/>
      <c r="GZ8" s="200"/>
      <c r="HA8" s="200"/>
      <c r="HB8" s="200"/>
      <c r="HC8" s="200"/>
      <c r="HD8" s="200"/>
      <c r="HE8" s="200"/>
      <c r="HF8" s="200"/>
      <c r="HG8" s="200"/>
      <c r="HH8" s="200"/>
      <c r="HI8" s="200"/>
      <c r="HJ8" s="200"/>
      <c r="HK8" s="200"/>
      <c r="HL8" s="200"/>
      <c r="HM8" s="200"/>
      <c r="HN8" s="200"/>
      <c r="HO8" s="200"/>
      <c r="HP8" s="200"/>
      <c r="HQ8" s="200"/>
      <c r="HR8" s="200"/>
      <c r="HS8" s="200"/>
      <c r="HT8" s="200"/>
      <c r="HU8" s="200"/>
      <c r="HV8" s="200"/>
      <c r="HW8" s="200"/>
      <c r="HX8" s="200"/>
      <c r="HY8" s="200"/>
      <c r="HZ8" s="200"/>
      <c r="IA8" s="200"/>
    </row>
    <row r="9" spans="1:235" ht="17.25" customHeight="1">
      <c r="A9" s="296">
        <v>-90</v>
      </c>
      <c r="B9" s="297">
        <f t="shared" ref="B9:C72" si="0">B10-1</f>
        <v>-90</v>
      </c>
      <c r="C9" s="298">
        <f t="shared" si="0"/>
        <v>-90</v>
      </c>
      <c r="D9" s="241"/>
      <c r="E9" s="43"/>
      <c r="F9" s="44"/>
      <c r="G9" s="45"/>
      <c r="H9" s="53"/>
      <c r="I9" s="54"/>
      <c r="J9" s="55"/>
      <c r="K9" s="43"/>
      <c r="L9" s="44"/>
      <c r="M9" s="45"/>
      <c r="N9" s="43"/>
      <c r="O9" s="44"/>
      <c r="P9" s="45"/>
      <c r="Q9" s="43"/>
      <c r="R9" s="44"/>
      <c r="S9" s="93"/>
      <c r="T9" s="92" t="str">
        <f>IF(BM9=0,"M",IF(D9="p1",AK9,IF(D9="p2",AL9,IF(D9="A",0,((E9*F9)*G9/0.6)+((H9*I9)*J9/0.6)+((K9*L9)*M9/0.6)+((N9*O9)*P9/0.6)+((Q9*R9)*S9/0.6)))))</f>
        <v>M</v>
      </c>
      <c r="U9" s="264" t="str">
        <f>IF(T9=Calculator!T9,"VALID","ERROR")</f>
        <v>ERROR</v>
      </c>
      <c r="V9" s="127"/>
      <c r="W9" s="305">
        <f t="shared" ref="W9:W72" si="1">IF(U9="VALID",0,IF(U9="ERROR",1,0))</f>
        <v>1</v>
      </c>
      <c r="X9" s="209"/>
      <c r="Y9" s="209"/>
      <c r="Z9" s="209"/>
      <c r="AA9" s="209"/>
      <c r="AB9" s="255"/>
      <c r="AC9" s="256"/>
      <c r="AD9" s="211"/>
      <c r="AE9" s="211"/>
      <c r="AF9" s="211"/>
      <c r="AG9" s="211"/>
      <c r="AH9" s="177"/>
      <c r="AK9" s="212" t="b">
        <f t="shared" ref="AK9:AK72" si="2">IF(AM9=1,AW9,IF(AM9=2,AQ9,IF(AM9=3,AR9,IF(AM9=4,AS9,IF(AM9=5,AT9,IF(AM9=6,AU9,IF(AM9=7,AV9)))))))</f>
        <v>0</v>
      </c>
      <c r="AL9" s="212" t="b">
        <f t="shared" ref="AL9:AL99" si="3">IF(AN9=1,BE9,IF(AN9=2,AY9,IF(AN9=3,AZ9,IF(AN9=4,BA9,IF(AN9=5,BB9,IF(AN9=6,BC9,IF(AN9=7,BD9)))))))</f>
        <v>0</v>
      </c>
      <c r="AM9" s="212" t="str">
        <f>IF(D9="p1",AP9,"no")</f>
        <v>no</v>
      </c>
      <c r="AN9" s="212" t="str">
        <f>IF(D9="p2",AP9,"no")</f>
        <v>no</v>
      </c>
      <c r="AO9" s="213"/>
      <c r="AP9" s="212" t="e">
        <f>WEEKDAY(C9)</f>
        <v>#NUM!</v>
      </c>
      <c r="AQ9" s="292" t="str">
        <f>'Dup P1 Chart'!Q4</f>
        <v>M</v>
      </c>
      <c r="AR9" s="293" t="str">
        <f>'Dup P1 Chart'!Q5</f>
        <v>M</v>
      </c>
      <c r="AS9" s="292" t="str">
        <f>'Dup P1 Chart'!Q6</f>
        <v>M</v>
      </c>
      <c r="AT9" s="293" t="str">
        <f>'Dup P1 Chart'!Q7</f>
        <v>M</v>
      </c>
      <c r="AU9" s="292" t="str">
        <f>'Dup P1 Chart'!Q8</f>
        <v>M</v>
      </c>
      <c r="AV9" s="293" t="str">
        <f>'Dup P1 Chart'!Q9</f>
        <v>M</v>
      </c>
      <c r="AW9" s="292" t="str">
        <f>'Dup P1 Chart'!Q10</f>
        <v>M</v>
      </c>
      <c r="AX9" s="215"/>
      <c r="AY9" s="216">
        <f>'P1 Chart'!Q17</f>
        <v>0</v>
      </c>
      <c r="AZ9" s="216">
        <f>'P1 Chart'!Q18</f>
        <v>0</v>
      </c>
      <c r="BA9" s="216">
        <f>'P1 Chart'!Q19</f>
        <v>0</v>
      </c>
      <c r="BB9" s="216">
        <f>'P1 Chart'!Q20</f>
        <v>0</v>
      </c>
      <c r="BC9" s="216">
        <f>'P1 Chart'!Q21</f>
        <v>0</v>
      </c>
      <c r="BD9" s="216">
        <f>'P1 Chart'!Q22</f>
        <v>0</v>
      </c>
      <c r="BE9" s="216">
        <f>'P1 Chart'!Q23</f>
        <v>0</v>
      </c>
      <c r="BH9" s="217" t="str">
        <f>IF(OR(E9="",F9="",G9=""),"M",1)</f>
        <v>M</v>
      </c>
      <c r="BI9" s="217" t="str">
        <f>IF(OR(H9="",I9="",J9=""),"M",1)</f>
        <v>M</v>
      </c>
      <c r="BJ9" s="217" t="str">
        <f>IF(OR(K9="",L9="",M9=""),"M",1)</f>
        <v>M</v>
      </c>
      <c r="BK9" s="217" t="str">
        <f>IF(OR(N9="",O9="",P9=""),"M",1)</f>
        <v>M</v>
      </c>
      <c r="BL9" s="217" t="str">
        <f>IF(OR(Q9="",R9="",S9=""),"M",1)</f>
        <v>M</v>
      </c>
      <c r="BM9" s="217">
        <f>IF(AND(BH9="M",BI9="M",BJ9="M",BK9="M",BL9="M",D9=""),0,1)</f>
        <v>0</v>
      </c>
      <c r="BN9" s="216">
        <f>SUM(BM9:BM98)</f>
        <v>0</v>
      </c>
      <c r="BO9" s="216"/>
      <c r="BP9" s="218" t="str">
        <f>IF(BN9=28,BP19,BP13)</f>
        <v>There are 90 days of missing drinking data in 90-day screening assessment period. Missing Baseline screening data must be collected prior to randomization.</v>
      </c>
    </row>
    <row r="10" spans="1:235" ht="17.25" customHeight="1">
      <c r="A10" s="296">
        <v>-89</v>
      </c>
      <c r="B10" s="297">
        <f t="shared" si="0"/>
        <v>-89</v>
      </c>
      <c r="C10" s="298">
        <f t="shared" si="0"/>
        <v>-89</v>
      </c>
      <c r="D10" s="242"/>
      <c r="E10" s="46"/>
      <c r="F10" s="47"/>
      <c r="G10" s="48"/>
      <c r="H10" s="46"/>
      <c r="I10" s="47"/>
      <c r="J10" s="48"/>
      <c r="K10" s="46"/>
      <c r="L10" s="47"/>
      <c r="M10" s="48"/>
      <c r="N10" s="46"/>
      <c r="O10" s="47"/>
      <c r="P10" s="48"/>
      <c r="Q10" s="46"/>
      <c r="R10" s="47"/>
      <c r="S10" s="94"/>
      <c r="T10" s="92" t="str">
        <f>IF(BM10=0,"M",IF(D10="p1",AK10,IF(D10="p2",AL10,IF(D10="A",0,((E10*F10)*G10/0.6)+((H10*I10)*J10/0.6)+((K10*L10)*M10/0.6)+((N10*O10)*P10/0.6)+((Q10*R10)*S10/0.6)))))</f>
        <v>M</v>
      </c>
      <c r="U10" s="264" t="str">
        <f>IF(T10=Calculator!T10,"VALID","ERROR")</f>
        <v>ERROR</v>
      </c>
      <c r="V10" s="127"/>
      <c r="W10" s="305">
        <f t="shared" si="1"/>
        <v>1</v>
      </c>
      <c r="X10" s="209"/>
      <c r="Y10" s="209"/>
      <c r="Z10" s="209"/>
      <c r="AA10" s="209"/>
      <c r="AB10" s="255"/>
      <c r="AC10" s="257"/>
      <c r="AD10" s="219"/>
      <c r="AE10" s="219"/>
      <c r="AF10" s="219"/>
      <c r="AG10" s="211"/>
      <c r="AH10" s="219"/>
      <c r="AK10" s="212" t="b">
        <f t="shared" si="2"/>
        <v>0</v>
      </c>
      <c r="AL10" s="212" t="b">
        <f t="shared" si="3"/>
        <v>0</v>
      </c>
      <c r="AM10" s="212" t="str">
        <f>IF(D10="p1",AP10,"no")</f>
        <v>no</v>
      </c>
      <c r="AN10" s="212" t="str">
        <f>IF(D10="p2",AP10,"no")</f>
        <v>no</v>
      </c>
      <c r="AO10" s="213"/>
      <c r="AP10" s="212" t="e">
        <f>WEEKDAY(C10)</f>
        <v>#NUM!</v>
      </c>
      <c r="AQ10" s="292" t="str">
        <f t="shared" ref="AQ10:AW25" si="4">AQ9</f>
        <v>M</v>
      </c>
      <c r="AR10" s="292" t="str">
        <f t="shared" si="4"/>
        <v>M</v>
      </c>
      <c r="AS10" s="292" t="str">
        <f t="shared" si="4"/>
        <v>M</v>
      </c>
      <c r="AT10" s="292" t="str">
        <f t="shared" si="4"/>
        <v>M</v>
      </c>
      <c r="AU10" s="292" t="str">
        <f t="shared" si="4"/>
        <v>M</v>
      </c>
      <c r="AV10" s="292" t="str">
        <f t="shared" si="4"/>
        <v>M</v>
      </c>
      <c r="AW10" s="292" t="str">
        <f t="shared" si="4"/>
        <v>M</v>
      </c>
      <c r="AX10" s="215"/>
      <c r="AY10" s="214">
        <f t="shared" ref="AY10:BE25" si="5">AY9</f>
        <v>0</v>
      </c>
      <c r="AZ10" s="214">
        <f t="shared" si="5"/>
        <v>0</v>
      </c>
      <c r="BA10" s="214">
        <f t="shared" si="5"/>
        <v>0</v>
      </c>
      <c r="BB10" s="214">
        <f t="shared" si="5"/>
        <v>0</v>
      </c>
      <c r="BC10" s="214">
        <f t="shared" si="5"/>
        <v>0</v>
      </c>
      <c r="BD10" s="214">
        <f t="shared" si="5"/>
        <v>0</v>
      </c>
      <c r="BE10" s="214">
        <f t="shared" si="5"/>
        <v>0</v>
      </c>
      <c r="BH10" s="217" t="str">
        <f>IF(OR(E10="",F10="",G10=""),"M",1)</f>
        <v>M</v>
      </c>
      <c r="BI10" s="217" t="str">
        <f>IF(OR(H10="",I10="",J10=""),"M",1)</f>
        <v>M</v>
      </c>
      <c r="BJ10" s="217" t="str">
        <f>IF(OR(K10="",L10="",M10=""),"M",1)</f>
        <v>M</v>
      </c>
      <c r="BK10" s="217" t="str">
        <f>IF(OR(N10="",O10="",P10=""),"M",1)</f>
        <v>M</v>
      </c>
      <c r="BL10" s="217" t="str">
        <f>IF(OR(Q10="",R10="",S10=""),"M",1)</f>
        <v>M</v>
      </c>
      <c r="BM10" s="217">
        <f>IF(AND(BH10="M",BI10="M",BJ10="M",BK10="M",BL10="M",D10=""),0,1)</f>
        <v>0</v>
      </c>
      <c r="BN10" s="216">
        <v>90</v>
      </c>
      <c r="BO10" s="216"/>
      <c r="BP10" s="218"/>
    </row>
    <row r="11" spans="1:235" ht="17.25" customHeight="1">
      <c r="A11" s="296">
        <v>-88</v>
      </c>
      <c r="B11" s="297">
        <f t="shared" si="0"/>
        <v>-88</v>
      </c>
      <c r="C11" s="298">
        <f t="shared" si="0"/>
        <v>-88</v>
      </c>
      <c r="D11" s="241"/>
      <c r="E11" s="46"/>
      <c r="F11" s="47"/>
      <c r="G11" s="48"/>
      <c r="H11" s="46"/>
      <c r="I11" s="47"/>
      <c r="J11" s="48"/>
      <c r="K11" s="46"/>
      <c r="L11" s="47"/>
      <c r="M11" s="48"/>
      <c r="N11" s="46"/>
      <c r="O11" s="47"/>
      <c r="P11" s="48"/>
      <c r="Q11" s="46"/>
      <c r="R11" s="47"/>
      <c r="S11" s="94"/>
      <c r="T11" s="92" t="str">
        <f>IF(BM11=0,"M",IF(D11="p1",AK11,IF(D11="p2",AL11,IF(D11="A",0,((E11*F11)*G11/0.6)+((H11*I11)*J11/0.6)+((K11*L11)*M11/0.6)+((N11*O11)*P11/0.6)+((Q11*R11)*S11/0.6)))))</f>
        <v>M</v>
      </c>
      <c r="U11" s="264" t="str">
        <f>IF(T11=Calculator!T11,"VALID","ERROR")</f>
        <v>ERROR</v>
      </c>
      <c r="V11" s="127"/>
      <c r="W11" s="305">
        <f t="shared" si="1"/>
        <v>1</v>
      </c>
      <c r="X11" s="209"/>
      <c r="Y11" s="209"/>
      <c r="Z11" s="209"/>
      <c r="AA11" s="209"/>
      <c r="AB11" s="255"/>
      <c r="AC11" s="265"/>
      <c r="AD11" s="210"/>
      <c r="AE11" s="210"/>
      <c r="AF11" s="210"/>
      <c r="AG11" s="211"/>
      <c r="AH11" s="220"/>
      <c r="AK11" s="212" t="b">
        <f t="shared" si="2"/>
        <v>0</v>
      </c>
      <c r="AL11" s="212" t="b">
        <f t="shared" si="3"/>
        <v>0</v>
      </c>
      <c r="AM11" s="212" t="str">
        <f>IF(D11="p1",AP11,"no")</f>
        <v>no</v>
      </c>
      <c r="AN11" s="212" t="str">
        <f>IF(D11="p2",AP11,"no")</f>
        <v>no</v>
      </c>
      <c r="AO11" s="213"/>
      <c r="AP11" s="212" t="e">
        <f>WEEKDAY(C11)</f>
        <v>#NUM!</v>
      </c>
      <c r="AQ11" s="292" t="str">
        <f t="shared" si="4"/>
        <v>M</v>
      </c>
      <c r="AR11" s="292" t="str">
        <f t="shared" si="4"/>
        <v>M</v>
      </c>
      <c r="AS11" s="292" t="str">
        <f t="shared" si="4"/>
        <v>M</v>
      </c>
      <c r="AT11" s="292" t="str">
        <f t="shared" si="4"/>
        <v>M</v>
      </c>
      <c r="AU11" s="292" t="str">
        <f t="shared" si="4"/>
        <v>M</v>
      </c>
      <c r="AV11" s="292" t="str">
        <f t="shared" si="4"/>
        <v>M</v>
      </c>
      <c r="AW11" s="292" t="str">
        <f t="shared" si="4"/>
        <v>M</v>
      </c>
      <c r="AX11" s="215"/>
      <c r="AY11" s="214">
        <f t="shared" si="5"/>
        <v>0</v>
      </c>
      <c r="AZ11" s="214">
        <f t="shared" si="5"/>
        <v>0</v>
      </c>
      <c r="BA11" s="214">
        <f t="shared" si="5"/>
        <v>0</v>
      </c>
      <c r="BB11" s="214">
        <f t="shared" si="5"/>
        <v>0</v>
      </c>
      <c r="BC11" s="214">
        <f t="shared" si="5"/>
        <v>0</v>
      </c>
      <c r="BD11" s="214">
        <f t="shared" si="5"/>
        <v>0</v>
      </c>
      <c r="BE11" s="214">
        <f t="shared" si="5"/>
        <v>0</v>
      </c>
      <c r="BH11" s="217" t="str">
        <f>IF(OR(E11="",F11="",G11=""),"M",1)</f>
        <v>M</v>
      </c>
      <c r="BI11" s="217" t="str">
        <f>IF(OR(H11="",I11="",J11=""),"M",1)</f>
        <v>M</v>
      </c>
      <c r="BJ11" s="217" t="str">
        <f>IF(OR(K11="",L11="",M11=""),"M",1)</f>
        <v>M</v>
      </c>
      <c r="BK11" s="217" t="str">
        <f>IF(OR(N11="",O11="",P11=""),"M",1)</f>
        <v>M</v>
      </c>
      <c r="BL11" s="217" t="str">
        <f>IF(OR(Q11="",R11="",S11=""),"M",1)</f>
        <v>M</v>
      </c>
      <c r="BM11" s="217">
        <f>IF(AND(BH11="M",BI11="M",BJ11="M",BK11="M",BL11="M",D11=""),0,1)</f>
        <v>0</v>
      </c>
      <c r="BN11" s="216"/>
      <c r="BO11" s="216"/>
      <c r="BP11" s="218"/>
    </row>
    <row r="12" spans="1:235" ht="17.25" customHeight="1">
      <c r="A12" s="296">
        <v>-87</v>
      </c>
      <c r="B12" s="297">
        <f t="shared" si="0"/>
        <v>-87</v>
      </c>
      <c r="C12" s="298">
        <f t="shared" si="0"/>
        <v>-87</v>
      </c>
      <c r="D12" s="242"/>
      <c r="E12" s="46"/>
      <c r="F12" s="47"/>
      <c r="G12" s="48"/>
      <c r="H12" s="46"/>
      <c r="I12" s="47"/>
      <c r="J12" s="48"/>
      <c r="K12" s="46"/>
      <c r="L12" s="47"/>
      <c r="M12" s="48"/>
      <c r="N12" s="46"/>
      <c r="O12" s="47"/>
      <c r="P12" s="48"/>
      <c r="Q12" s="46"/>
      <c r="R12" s="47"/>
      <c r="S12" s="94"/>
      <c r="T12" s="92" t="str">
        <f>IF(BM12=0,"M",IF(D12="p1",AK12,IF(D12="p2",AL12,IF(D12="A",0,((E12*F12)*G12/0.6)+((H12*I12)*J12/0.6)+((K12*L12)*M12/0.6)+((N12*O12)*P12/0.6)+((Q12*R12)*S12/0.6)))))</f>
        <v>M</v>
      </c>
      <c r="U12" s="264" t="str">
        <f>IF(T12=Calculator!T12,"VALID","ERROR")</f>
        <v>ERROR</v>
      </c>
      <c r="V12" s="127"/>
      <c r="W12" s="305">
        <f t="shared" si="1"/>
        <v>1</v>
      </c>
      <c r="X12" s="209"/>
      <c r="Y12" s="209"/>
      <c r="Z12" s="209"/>
      <c r="AA12" s="209"/>
      <c r="AB12" s="255"/>
      <c r="AC12" s="256"/>
      <c r="AD12" s="259"/>
      <c r="AE12" s="259"/>
      <c r="AF12" s="259"/>
      <c r="AG12" s="255"/>
      <c r="AH12" s="218"/>
      <c r="AK12" s="212" t="b">
        <f t="shared" si="2"/>
        <v>0</v>
      </c>
      <c r="AL12" s="212" t="b">
        <f t="shared" si="3"/>
        <v>0</v>
      </c>
      <c r="AM12" s="212" t="str">
        <f>IF(D12="p1",AP12,"no")</f>
        <v>no</v>
      </c>
      <c r="AN12" s="212" t="str">
        <f>IF(D12="p2",AP12,"no")</f>
        <v>no</v>
      </c>
      <c r="AO12" s="213"/>
      <c r="AP12" s="212" t="e">
        <f>WEEKDAY(C12)</f>
        <v>#NUM!</v>
      </c>
      <c r="AQ12" s="292" t="str">
        <f t="shared" si="4"/>
        <v>M</v>
      </c>
      <c r="AR12" s="292" t="str">
        <f t="shared" si="4"/>
        <v>M</v>
      </c>
      <c r="AS12" s="292" t="str">
        <f t="shared" si="4"/>
        <v>M</v>
      </c>
      <c r="AT12" s="292" t="str">
        <f t="shared" si="4"/>
        <v>M</v>
      </c>
      <c r="AU12" s="292" t="str">
        <f t="shared" si="4"/>
        <v>M</v>
      </c>
      <c r="AV12" s="292" t="str">
        <f t="shared" si="4"/>
        <v>M</v>
      </c>
      <c r="AW12" s="292" t="str">
        <f t="shared" si="4"/>
        <v>M</v>
      </c>
      <c r="AX12" s="215"/>
      <c r="AY12" s="214">
        <f t="shared" si="5"/>
        <v>0</v>
      </c>
      <c r="AZ12" s="214">
        <f t="shared" si="5"/>
        <v>0</v>
      </c>
      <c r="BA12" s="214">
        <f t="shared" si="5"/>
        <v>0</v>
      </c>
      <c r="BB12" s="214">
        <f t="shared" si="5"/>
        <v>0</v>
      </c>
      <c r="BC12" s="214">
        <f t="shared" si="5"/>
        <v>0</v>
      </c>
      <c r="BD12" s="214">
        <f t="shared" si="5"/>
        <v>0</v>
      </c>
      <c r="BE12" s="214">
        <f t="shared" si="5"/>
        <v>0</v>
      </c>
      <c r="BH12" s="217" t="str">
        <f>IF(OR(E12="",F12="",G12=""),"M",1)</f>
        <v>M</v>
      </c>
      <c r="BI12" s="217" t="str">
        <f>IF(OR(H12="",I12="",J12=""),"M",1)</f>
        <v>M</v>
      </c>
      <c r="BJ12" s="217" t="str">
        <f>IF(OR(K12="",L12="",M12=""),"M",1)</f>
        <v>M</v>
      </c>
      <c r="BK12" s="217" t="str">
        <f>IF(OR(N12="",O12="",P12=""),"M",1)</f>
        <v>M</v>
      </c>
      <c r="BL12" s="217" t="str">
        <f>IF(OR(Q12="",R12="",S12=""),"M",1)</f>
        <v>M</v>
      </c>
      <c r="BM12" s="217">
        <f>IF(AND(BH12="M",BI12="M",BJ12="M",BK12="M",BL12="M",D12=""),0,1)</f>
        <v>0</v>
      </c>
      <c r="BN12" s="216"/>
      <c r="BO12" s="216"/>
      <c r="BP12" s="218"/>
    </row>
    <row r="13" spans="1:235" ht="17.25" customHeight="1">
      <c r="A13" s="296">
        <v>-86</v>
      </c>
      <c r="B13" s="297">
        <f t="shared" si="0"/>
        <v>-86</v>
      </c>
      <c r="C13" s="298">
        <f t="shared" si="0"/>
        <v>-86</v>
      </c>
      <c r="D13" s="241"/>
      <c r="E13" s="46"/>
      <c r="F13" s="47"/>
      <c r="G13" s="48"/>
      <c r="H13" s="46"/>
      <c r="I13" s="47"/>
      <c r="J13" s="48"/>
      <c r="K13" s="46"/>
      <c r="L13" s="47"/>
      <c r="M13" s="48"/>
      <c r="N13" s="46"/>
      <c r="O13" s="47"/>
      <c r="P13" s="48"/>
      <c r="Q13" s="46"/>
      <c r="R13" s="47"/>
      <c r="S13" s="94"/>
      <c r="T13" s="92" t="str">
        <f>IF(BM13=0,"M",IF(D13="p1",AK13,IF(D13="p2",AL13,IF(D13="A",0,((E13*F13)*G13/0.6)+((H13*I13)*J13/0.6)+((K13*L13)*M13/0.6)+((N13*O13)*P13/0.6)+((Q13*R13)*S13/0.6)))))</f>
        <v>M</v>
      </c>
      <c r="U13" s="264" t="str">
        <f>IF(T13=Calculator!T13,"VALID","ERROR")</f>
        <v>VALID</v>
      </c>
      <c r="V13" s="127"/>
      <c r="W13" s="305">
        <f t="shared" si="1"/>
        <v>0</v>
      </c>
      <c r="X13" s="209"/>
      <c r="Y13" s="209"/>
      <c r="Z13" s="209"/>
      <c r="AA13" s="209"/>
      <c r="AB13" s="255"/>
      <c r="AC13" s="256"/>
      <c r="AD13" s="267"/>
      <c r="AE13" s="267"/>
      <c r="AF13" s="267"/>
      <c r="AG13" s="268"/>
      <c r="AH13" s="269"/>
      <c r="AK13" s="212" t="b">
        <f t="shared" si="2"/>
        <v>0</v>
      </c>
      <c r="AL13" s="212" t="b">
        <f t="shared" si="3"/>
        <v>0</v>
      </c>
      <c r="AM13" s="212" t="str">
        <f>IF(D13="p1",AP13,"no")</f>
        <v>no</v>
      </c>
      <c r="AN13" s="212" t="str">
        <f>IF(D13="p2",AP13,"no")</f>
        <v>no</v>
      </c>
      <c r="AO13" s="213"/>
      <c r="AP13" s="212" t="e">
        <f>WEEKDAY(C13)</f>
        <v>#NUM!</v>
      </c>
      <c r="AQ13" s="292" t="str">
        <f t="shared" si="4"/>
        <v>M</v>
      </c>
      <c r="AR13" s="292" t="str">
        <f t="shared" si="4"/>
        <v>M</v>
      </c>
      <c r="AS13" s="292" t="str">
        <f t="shared" si="4"/>
        <v>M</v>
      </c>
      <c r="AT13" s="292" t="str">
        <f t="shared" si="4"/>
        <v>M</v>
      </c>
      <c r="AU13" s="292" t="str">
        <f t="shared" si="4"/>
        <v>M</v>
      </c>
      <c r="AV13" s="292" t="str">
        <f t="shared" si="4"/>
        <v>M</v>
      </c>
      <c r="AW13" s="292" t="str">
        <f t="shared" si="4"/>
        <v>M</v>
      </c>
      <c r="AX13" s="215"/>
      <c r="AY13" s="214">
        <f t="shared" si="5"/>
        <v>0</v>
      </c>
      <c r="AZ13" s="214">
        <f t="shared" si="5"/>
        <v>0</v>
      </c>
      <c r="BA13" s="214">
        <f t="shared" si="5"/>
        <v>0</v>
      </c>
      <c r="BB13" s="214">
        <f t="shared" si="5"/>
        <v>0</v>
      </c>
      <c r="BC13" s="214">
        <f t="shared" si="5"/>
        <v>0</v>
      </c>
      <c r="BD13" s="214">
        <f t="shared" si="5"/>
        <v>0</v>
      </c>
      <c r="BE13" s="214">
        <f t="shared" si="5"/>
        <v>0</v>
      </c>
      <c r="BH13" s="217" t="str">
        <f>IF(OR(E13="",F13="",G13=""),"M",1)</f>
        <v>M</v>
      </c>
      <c r="BI13" s="217" t="str">
        <f>IF(OR(H13="",I13="",J13=""),"M",1)</f>
        <v>M</v>
      </c>
      <c r="BJ13" s="217" t="str">
        <f>IF(OR(K13="",L13="",M13=""),"M",1)</f>
        <v>M</v>
      </c>
      <c r="BK13" s="217" t="str">
        <f>IF(OR(N13="",O13="",P13=""),"M",1)</f>
        <v>M</v>
      </c>
      <c r="BL13" s="217" t="str">
        <f>IF(OR(Q13="",R13="",S13=""),"M",1)</f>
        <v>M</v>
      </c>
      <c r="BM13" s="217">
        <f>IF(AND(BH13="M",BI13="M",BJ13="M",BK13="M",BL13="M",D13=""),0,1)</f>
        <v>0</v>
      </c>
      <c r="BN13" s="216"/>
      <c r="BO13" s="216"/>
      <c r="BP13" s="218" t="str">
        <f>CONCATENATE("There ",BP15," ",BP16," ",BP17," of missing drinking data in 90-day screening assessment period. ",BP18)</f>
        <v>There are 90 days of missing drinking data in 90-day screening assessment period. Missing Baseline screening data must be collected prior to randomization.</v>
      </c>
    </row>
    <row r="14" spans="1:235" ht="17.25" customHeight="1">
      <c r="A14" s="296">
        <v>-85</v>
      </c>
      <c r="B14" s="297">
        <f t="shared" si="0"/>
        <v>-85</v>
      </c>
      <c r="C14" s="298">
        <f t="shared" si="0"/>
        <v>-85</v>
      </c>
      <c r="D14" s="242"/>
      <c r="E14" s="46"/>
      <c r="F14" s="47"/>
      <c r="G14" s="48"/>
      <c r="H14" s="46"/>
      <c r="I14" s="47"/>
      <c r="J14" s="48"/>
      <c r="K14" s="46"/>
      <c r="L14" s="47"/>
      <c r="M14" s="48"/>
      <c r="N14" s="46"/>
      <c r="O14" s="47"/>
      <c r="P14" s="48"/>
      <c r="Q14" s="46"/>
      <c r="R14" s="47"/>
      <c r="S14" s="94"/>
      <c r="T14" s="92" t="str">
        <f>IF(BM14=0,"M",IF(D14="p1",AK14,IF(D14="p2",AL14,IF(D14="A",0,((E14*F14)*G14/0.6)+((H14*I14)*J14/0.6)+((K14*L14)*M14/0.6)+((N14*O14)*P14/0.6)+((Q14*R14)*S14/0.6)))))</f>
        <v>M</v>
      </c>
      <c r="U14" s="264" t="str">
        <f>IF(T14=Calculator!T14,"VALID","ERROR")</f>
        <v>VALID</v>
      </c>
      <c r="V14" s="127"/>
      <c r="W14" s="305">
        <f t="shared" si="1"/>
        <v>0</v>
      </c>
      <c r="X14" s="209"/>
      <c r="Y14" s="209"/>
      <c r="Z14" s="209"/>
      <c r="AA14" s="209"/>
      <c r="AB14" s="256"/>
      <c r="AC14" s="258"/>
      <c r="AD14" s="268"/>
      <c r="AE14" s="268"/>
      <c r="AF14" s="268"/>
      <c r="AG14" s="270"/>
      <c r="AH14" s="269"/>
      <c r="AK14" s="212" t="b">
        <f t="shared" si="2"/>
        <v>0</v>
      </c>
      <c r="AL14" s="212" t="b">
        <f t="shared" si="3"/>
        <v>0</v>
      </c>
      <c r="AM14" s="212" t="str">
        <f>IF(D14="p1",AP14,"no")</f>
        <v>no</v>
      </c>
      <c r="AN14" s="212" t="str">
        <f>IF(D14="p2",AP14,"no")</f>
        <v>no</v>
      </c>
      <c r="AO14" s="213"/>
      <c r="AP14" s="212" t="e">
        <f>WEEKDAY(C14)</f>
        <v>#NUM!</v>
      </c>
      <c r="AQ14" s="292" t="str">
        <f t="shared" si="4"/>
        <v>M</v>
      </c>
      <c r="AR14" s="292" t="str">
        <f t="shared" si="4"/>
        <v>M</v>
      </c>
      <c r="AS14" s="292" t="str">
        <f t="shared" si="4"/>
        <v>M</v>
      </c>
      <c r="AT14" s="292" t="str">
        <f t="shared" si="4"/>
        <v>M</v>
      </c>
      <c r="AU14" s="292" t="str">
        <f t="shared" si="4"/>
        <v>M</v>
      </c>
      <c r="AV14" s="292" t="str">
        <f t="shared" si="4"/>
        <v>M</v>
      </c>
      <c r="AW14" s="292" t="str">
        <f t="shared" si="4"/>
        <v>M</v>
      </c>
      <c r="AX14" s="215"/>
      <c r="AY14" s="214">
        <f t="shared" si="5"/>
        <v>0</v>
      </c>
      <c r="AZ14" s="214">
        <f t="shared" si="5"/>
        <v>0</v>
      </c>
      <c r="BA14" s="214">
        <f t="shared" si="5"/>
        <v>0</v>
      </c>
      <c r="BB14" s="214">
        <f t="shared" si="5"/>
        <v>0</v>
      </c>
      <c r="BC14" s="214">
        <f t="shared" si="5"/>
        <v>0</v>
      </c>
      <c r="BD14" s="214">
        <f t="shared" si="5"/>
        <v>0</v>
      </c>
      <c r="BE14" s="214">
        <f t="shared" si="5"/>
        <v>0</v>
      </c>
      <c r="BH14" s="217" t="str">
        <f>IF(OR(E14="",F14="",G14=""),"M",1)</f>
        <v>M</v>
      </c>
      <c r="BI14" s="217" t="str">
        <f>IF(OR(H14="",I14="",J14=""),"M",1)</f>
        <v>M</v>
      </c>
      <c r="BJ14" s="217" t="str">
        <f>IF(OR(K14="",L14="",M14=""),"M",1)</f>
        <v>M</v>
      </c>
      <c r="BK14" s="217" t="str">
        <f>IF(OR(N14="",O14="",P14=""),"M",1)</f>
        <v>M</v>
      </c>
      <c r="BL14" s="217" t="str">
        <f>IF(OR(Q14="",R14="",S14=""),"M",1)</f>
        <v>M</v>
      </c>
      <c r="BM14" s="217">
        <f>IF(AND(BH14="M",BI14="M",BJ14="M",BK14="M",BL14="M",D14=""),0,1)</f>
        <v>0</v>
      </c>
      <c r="BN14" s="216"/>
      <c r="BO14" s="216"/>
      <c r="BP14" s="218"/>
    </row>
    <row r="15" spans="1:235" ht="17.25" customHeight="1">
      <c r="A15" s="296">
        <v>-84</v>
      </c>
      <c r="B15" s="297">
        <f t="shared" si="0"/>
        <v>-84</v>
      </c>
      <c r="C15" s="298">
        <f t="shared" si="0"/>
        <v>-84</v>
      </c>
      <c r="D15" s="241"/>
      <c r="E15" s="46"/>
      <c r="F15" s="47"/>
      <c r="G15" s="48"/>
      <c r="H15" s="46"/>
      <c r="I15" s="47"/>
      <c r="J15" s="48"/>
      <c r="K15" s="46"/>
      <c r="L15" s="47"/>
      <c r="M15" s="48"/>
      <c r="N15" s="46"/>
      <c r="O15" s="47"/>
      <c r="P15" s="48"/>
      <c r="Q15" s="46"/>
      <c r="R15" s="47"/>
      <c r="S15" s="94"/>
      <c r="T15" s="92" t="str">
        <f>IF(BM15=0,"M",IF(D15="p1",AK15,IF(D15="p2",AL15,IF(D15="A",0,((E15*F15)*G15/0.6)+((H15*I15)*J15/0.6)+((K15*L15)*M15/0.6)+((N15*O15)*P15/0.6)+((Q15*R15)*S15/0.6)))))</f>
        <v>M</v>
      </c>
      <c r="U15" s="264" t="str">
        <f>IF(T15=Calculator!T15,"VALID","ERROR")</f>
        <v>VALID</v>
      </c>
      <c r="V15" s="127"/>
      <c r="W15" s="305">
        <f t="shared" si="1"/>
        <v>0</v>
      </c>
      <c r="X15" s="209"/>
      <c r="Y15" s="209"/>
      <c r="Z15" s="209"/>
      <c r="AA15" s="209"/>
      <c r="AB15" s="209"/>
      <c r="AC15" s="209"/>
      <c r="AD15" s="271"/>
      <c r="AE15" s="271"/>
      <c r="AF15" s="271"/>
      <c r="AG15" s="270"/>
      <c r="AH15" s="271"/>
      <c r="AK15" s="212" t="b">
        <f t="shared" si="2"/>
        <v>0</v>
      </c>
      <c r="AL15" s="212" t="b">
        <f t="shared" si="3"/>
        <v>0</v>
      </c>
      <c r="AM15" s="212" t="str">
        <f>IF(D15="p1",AP15,"no")</f>
        <v>no</v>
      </c>
      <c r="AN15" s="212" t="str">
        <f>IF(D15="p2",AP15,"no")</f>
        <v>no</v>
      </c>
      <c r="AO15" s="213"/>
      <c r="AP15" s="212" t="e">
        <f>WEEKDAY(C15)</f>
        <v>#NUM!</v>
      </c>
      <c r="AQ15" s="292" t="str">
        <f t="shared" si="4"/>
        <v>M</v>
      </c>
      <c r="AR15" s="292" t="str">
        <f t="shared" si="4"/>
        <v>M</v>
      </c>
      <c r="AS15" s="292" t="str">
        <f t="shared" si="4"/>
        <v>M</v>
      </c>
      <c r="AT15" s="292" t="str">
        <f t="shared" si="4"/>
        <v>M</v>
      </c>
      <c r="AU15" s="292" t="str">
        <f t="shared" si="4"/>
        <v>M</v>
      </c>
      <c r="AV15" s="292" t="str">
        <f t="shared" si="4"/>
        <v>M</v>
      </c>
      <c r="AW15" s="292" t="str">
        <f t="shared" si="4"/>
        <v>M</v>
      </c>
      <c r="AX15" s="215"/>
      <c r="AY15" s="214">
        <f t="shared" si="5"/>
        <v>0</v>
      </c>
      <c r="AZ15" s="214">
        <f t="shared" si="5"/>
        <v>0</v>
      </c>
      <c r="BA15" s="214">
        <f t="shared" si="5"/>
        <v>0</v>
      </c>
      <c r="BB15" s="214">
        <f t="shared" si="5"/>
        <v>0</v>
      </c>
      <c r="BC15" s="214">
        <f t="shared" si="5"/>
        <v>0</v>
      </c>
      <c r="BD15" s="214">
        <f t="shared" si="5"/>
        <v>0</v>
      </c>
      <c r="BE15" s="214">
        <f t="shared" si="5"/>
        <v>0</v>
      </c>
      <c r="BH15" s="217" t="str">
        <f>IF(OR(E15="",F15="",G15=""),"M",1)</f>
        <v>M</v>
      </c>
      <c r="BI15" s="217" t="str">
        <f>IF(OR(H15="",I15="",J15=""),"M",1)</f>
        <v>M</v>
      </c>
      <c r="BJ15" s="217" t="str">
        <f>IF(OR(K15="",L15="",M15=""),"M",1)</f>
        <v>M</v>
      </c>
      <c r="BK15" s="217" t="str">
        <f>IF(OR(N15="",O15="",P15=""),"M",1)</f>
        <v>M</v>
      </c>
      <c r="BL15" s="217" t="str">
        <f>IF(OR(Q15="",R15="",S15=""),"M",1)</f>
        <v>M</v>
      </c>
      <c r="BM15" s="217">
        <f>IF(AND(BH15="M",BI15="M",BJ15="M",BK15="M",BL15="M",D15=""),0,1)</f>
        <v>0</v>
      </c>
      <c r="BN15" s="216"/>
      <c r="BO15" s="216"/>
      <c r="BP15" s="218" t="str">
        <f>IF(BP16=1,"is","are")</f>
        <v>are</v>
      </c>
    </row>
    <row r="16" spans="1:235" ht="17.25" customHeight="1">
      <c r="A16" s="296">
        <v>-83</v>
      </c>
      <c r="B16" s="297">
        <f t="shared" si="0"/>
        <v>-83</v>
      </c>
      <c r="C16" s="298">
        <f t="shared" si="0"/>
        <v>-83</v>
      </c>
      <c r="D16" s="242"/>
      <c r="E16" s="46"/>
      <c r="F16" s="47"/>
      <c r="G16" s="48"/>
      <c r="H16" s="46"/>
      <c r="I16" s="47"/>
      <c r="J16" s="48"/>
      <c r="K16" s="46"/>
      <c r="L16" s="47"/>
      <c r="M16" s="48"/>
      <c r="N16" s="46"/>
      <c r="O16" s="47"/>
      <c r="P16" s="48"/>
      <c r="Q16" s="46"/>
      <c r="R16" s="47"/>
      <c r="S16" s="94"/>
      <c r="T16" s="92" t="str">
        <f>IF(BM16=0,"M",IF(D16="p1",AK16,IF(D16="p2",AL16,IF(D16="A",0,((E16*F16)*G16/0.6)+((H16*I16)*J16/0.6)+((K16*L16)*M16/0.6)+((N16*O16)*P16/0.6)+((Q16*R16)*S16/0.6)))))</f>
        <v>M</v>
      </c>
      <c r="U16" s="264" t="str">
        <f>IF(T16=Calculator!T16,"VALID","ERROR")</f>
        <v>VALID</v>
      </c>
      <c r="V16" s="127"/>
      <c r="W16" s="305">
        <f t="shared" si="1"/>
        <v>0</v>
      </c>
      <c r="X16" s="209"/>
      <c r="Y16" s="209"/>
      <c r="Z16" s="209"/>
      <c r="AA16" s="209"/>
      <c r="AB16" s="256"/>
      <c r="AC16" s="255"/>
      <c r="AD16" s="272"/>
      <c r="AE16" s="272"/>
      <c r="AF16" s="272"/>
      <c r="AG16" s="270"/>
      <c r="AH16" s="273"/>
      <c r="AK16" s="212" t="b">
        <f t="shared" si="2"/>
        <v>0</v>
      </c>
      <c r="AL16" s="212" t="b">
        <f t="shared" si="3"/>
        <v>0</v>
      </c>
      <c r="AM16" s="212" t="str">
        <f>IF(D16="p1",AP16,"no")</f>
        <v>no</v>
      </c>
      <c r="AN16" s="212" t="str">
        <f>IF(D16="p2",AP16,"no")</f>
        <v>no</v>
      </c>
      <c r="AO16" s="213"/>
      <c r="AP16" s="212" t="e">
        <f>WEEKDAY(C16)</f>
        <v>#NUM!</v>
      </c>
      <c r="AQ16" s="292" t="str">
        <f t="shared" si="4"/>
        <v>M</v>
      </c>
      <c r="AR16" s="292" t="str">
        <f t="shared" si="4"/>
        <v>M</v>
      </c>
      <c r="AS16" s="292" t="str">
        <f t="shared" si="4"/>
        <v>M</v>
      </c>
      <c r="AT16" s="292" t="str">
        <f t="shared" si="4"/>
        <v>M</v>
      </c>
      <c r="AU16" s="292" t="str">
        <f t="shared" si="4"/>
        <v>M</v>
      </c>
      <c r="AV16" s="292" t="str">
        <f t="shared" si="4"/>
        <v>M</v>
      </c>
      <c r="AW16" s="292" t="str">
        <f t="shared" si="4"/>
        <v>M</v>
      </c>
      <c r="AX16" s="215"/>
      <c r="AY16" s="214">
        <f t="shared" si="5"/>
        <v>0</v>
      </c>
      <c r="AZ16" s="214">
        <f t="shared" si="5"/>
        <v>0</v>
      </c>
      <c r="BA16" s="214">
        <f t="shared" si="5"/>
        <v>0</v>
      </c>
      <c r="BB16" s="214">
        <f t="shared" si="5"/>
        <v>0</v>
      </c>
      <c r="BC16" s="214">
        <f t="shared" si="5"/>
        <v>0</v>
      </c>
      <c r="BD16" s="214">
        <f t="shared" si="5"/>
        <v>0</v>
      </c>
      <c r="BE16" s="214">
        <f t="shared" si="5"/>
        <v>0</v>
      </c>
      <c r="BH16" s="217" t="str">
        <f>IF(OR(E16="",F16="",G16=""),"M",1)</f>
        <v>M</v>
      </c>
      <c r="BI16" s="217" t="str">
        <f>IF(OR(H16="",I16="",J16=""),"M",1)</f>
        <v>M</v>
      </c>
      <c r="BJ16" s="217" t="str">
        <f>IF(OR(K16="",L16="",M16=""),"M",1)</f>
        <v>M</v>
      </c>
      <c r="BK16" s="217" t="str">
        <f>IF(OR(N16="",O16="",P16=""),"M",1)</f>
        <v>M</v>
      </c>
      <c r="BL16" s="217" t="str">
        <f>IF(OR(Q16="",R16="",S16=""),"M",1)</f>
        <v>M</v>
      </c>
      <c r="BM16" s="217">
        <f>IF(AND(BH16="M",BI16="M",BJ16="M",BK16="M",BL16="M",D16=""),0,1)</f>
        <v>0</v>
      </c>
      <c r="BN16" s="216"/>
      <c r="BO16" s="216"/>
      <c r="BP16" s="222">
        <f>BN10-BN9</f>
        <v>90</v>
      </c>
    </row>
    <row r="17" spans="1:68" ht="17.25" customHeight="1">
      <c r="A17" s="296">
        <v>-82</v>
      </c>
      <c r="B17" s="297">
        <f t="shared" si="0"/>
        <v>-82</v>
      </c>
      <c r="C17" s="298">
        <f t="shared" si="0"/>
        <v>-82</v>
      </c>
      <c r="D17" s="241"/>
      <c r="E17" s="46"/>
      <c r="F17" s="47"/>
      <c r="G17" s="48"/>
      <c r="H17" s="46"/>
      <c r="I17" s="47"/>
      <c r="J17" s="48"/>
      <c r="K17" s="46"/>
      <c r="L17" s="47"/>
      <c r="M17" s="48"/>
      <c r="N17" s="46"/>
      <c r="O17" s="47"/>
      <c r="P17" s="48"/>
      <c r="Q17" s="46"/>
      <c r="R17" s="47"/>
      <c r="S17" s="94"/>
      <c r="T17" s="92" t="str">
        <f>IF(BM17=0,"M",IF(D17="p1",AK17,IF(D17="p2",AL17,IF(D17="A",0,((E17*F17)*G17/0.6)+((H17*I17)*J17/0.6)+((K17*L17)*M17/0.6)+((N17*O17)*P17/0.6)+((Q17*R17)*S17/0.6)))))</f>
        <v>M</v>
      </c>
      <c r="U17" s="264" t="str">
        <f>IF(T17=Calculator!T17,"VALID","ERROR")</f>
        <v>VALID</v>
      </c>
      <c r="V17" s="127"/>
      <c r="W17" s="305">
        <f t="shared" si="1"/>
        <v>0</v>
      </c>
      <c r="X17" s="209"/>
      <c r="Y17" s="209"/>
      <c r="Z17" s="209"/>
      <c r="AA17" s="209"/>
      <c r="AB17" s="250"/>
      <c r="AC17" s="259"/>
      <c r="AD17" s="267"/>
      <c r="AE17" s="267"/>
      <c r="AF17" s="267"/>
      <c r="AG17" s="274"/>
      <c r="AH17" s="269"/>
      <c r="AK17" s="212" t="b">
        <f t="shared" si="2"/>
        <v>0</v>
      </c>
      <c r="AL17" s="212" t="b">
        <f t="shared" si="3"/>
        <v>0</v>
      </c>
      <c r="AM17" s="212" t="str">
        <f>IF(D17="p1",AP17,"no")</f>
        <v>no</v>
      </c>
      <c r="AN17" s="212" t="str">
        <f>IF(D17="p2",AP17,"no")</f>
        <v>no</v>
      </c>
      <c r="AO17" s="213"/>
      <c r="AP17" s="212" t="e">
        <f>WEEKDAY(C17)</f>
        <v>#NUM!</v>
      </c>
      <c r="AQ17" s="292" t="str">
        <f t="shared" si="4"/>
        <v>M</v>
      </c>
      <c r="AR17" s="292" t="str">
        <f t="shared" si="4"/>
        <v>M</v>
      </c>
      <c r="AS17" s="292" t="str">
        <f t="shared" si="4"/>
        <v>M</v>
      </c>
      <c r="AT17" s="292" t="str">
        <f t="shared" si="4"/>
        <v>M</v>
      </c>
      <c r="AU17" s="292" t="str">
        <f t="shared" si="4"/>
        <v>M</v>
      </c>
      <c r="AV17" s="292" t="str">
        <f t="shared" si="4"/>
        <v>M</v>
      </c>
      <c r="AW17" s="292" t="str">
        <f t="shared" si="4"/>
        <v>M</v>
      </c>
      <c r="AX17" s="215"/>
      <c r="AY17" s="214">
        <f t="shared" si="5"/>
        <v>0</v>
      </c>
      <c r="AZ17" s="214">
        <f t="shared" si="5"/>
        <v>0</v>
      </c>
      <c r="BA17" s="214">
        <f t="shared" si="5"/>
        <v>0</v>
      </c>
      <c r="BB17" s="214">
        <f t="shared" si="5"/>
        <v>0</v>
      </c>
      <c r="BC17" s="214">
        <f t="shared" si="5"/>
        <v>0</v>
      </c>
      <c r="BD17" s="214">
        <f t="shared" si="5"/>
        <v>0</v>
      </c>
      <c r="BE17" s="214">
        <f t="shared" si="5"/>
        <v>0</v>
      </c>
      <c r="BH17" s="217" t="str">
        <f>IF(OR(E17="",F17="",G17=""),"M",1)</f>
        <v>M</v>
      </c>
      <c r="BI17" s="217" t="str">
        <f>IF(OR(H17="",I17="",J17=""),"M",1)</f>
        <v>M</v>
      </c>
      <c r="BJ17" s="217" t="str">
        <f>IF(OR(K17="",L17="",M17=""),"M",1)</f>
        <v>M</v>
      </c>
      <c r="BK17" s="217" t="str">
        <f>IF(OR(N17="",O17="",P17=""),"M",1)</f>
        <v>M</v>
      </c>
      <c r="BL17" s="217" t="str">
        <f>IF(OR(Q17="",R17="",S17=""),"M",1)</f>
        <v>M</v>
      </c>
      <c r="BM17" s="217">
        <f>IF(AND(BH17="M",BI17="M",BJ17="M",BK17="M",BL17="M",D17=""),0,1)</f>
        <v>0</v>
      </c>
      <c r="BN17" s="216"/>
      <c r="BO17" s="216"/>
      <c r="BP17" s="218" t="str">
        <f>IF(BP16=1,"day","days")</f>
        <v>days</v>
      </c>
    </row>
    <row r="18" spans="1:68" ht="17.25" customHeight="1">
      <c r="A18" s="296">
        <v>-81</v>
      </c>
      <c r="B18" s="297">
        <f t="shared" si="0"/>
        <v>-81</v>
      </c>
      <c r="C18" s="298">
        <f t="shared" si="0"/>
        <v>-81</v>
      </c>
      <c r="D18" s="242"/>
      <c r="E18" s="46"/>
      <c r="F18" s="47"/>
      <c r="G18" s="48"/>
      <c r="H18" s="46"/>
      <c r="I18" s="47"/>
      <c r="J18" s="48"/>
      <c r="K18" s="46"/>
      <c r="L18" s="47"/>
      <c r="M18" s="48"/>
      <c r="N18" s="46"/>
      <c r="O18" s="47"/>
      <c r="P18" s="48"/>
      <c r="Q18" s="46"/>
      <c r="R18" s="47"/>
      <c r="S18" s="94"/>
      <c r="T18" s="92" t="str">
        <f>IF(BM18=0,"M",IF(D18="p1",AK18,IF(D18="p2",AL18,IF(D18="A",0,((E18*F18)*G18/0.6)+((H18*I18)*J18/0.6)+((K18*L18)*M18/0.6)+((N18*O18)*P18/0.6)+((Q18*R18)*S18/0.6)))))</f>
        <v>M</v>
      </c>
      <c r="U18" s="264" t="str">
        <f>IF(T18=Calculator!T18,"VALID","ERROR")</f>
        <v>VALID</v>
      </c>
      <c r="V18" s="127"/>
      <c r="W18" s="305">
        <f t="shared" si="1"/>
        <v>0</v>
      </c>
      <c r="X18" s="209"/>
      <c r="Y18" s="209"/>
      <c r="Z18" s="209"/>
      <c r="AA18" s="209"/>
      <c r="AB18" s="250"/>
      <c r="AC18" s="259"/>
      <c r="AD18" s="267"/>
      <c r="AE18" s="267"/>
      <c r="AF18" s="267"/>
      <c r="AG18" s="267"/>
      <c r="AH18" s="269"/>
      <c r="AK18" s="212" t="b">
        <f t="shared" si="2"/>
        <v>0</v>
      </c>
      <c r="AL18" s="212" t="b">
        <f t="shared" si="3"/>
        <v>0</v>
      </c>
      <c r="AM18" s="212" t="str">
        <f>IF(D18="p1",AP18,"no")</f>
        <v>no</v>
      </c>
      <c r="AN18" s="212" t="str">
        <f>IF(D18="p2",AP18,"no")</f>
        <v>no</v>
      </c>
      <c r="AO18" s="213"/>
      <c r="AP18" s="212" t="e">
        <f>WEEKDAY(C18)</f>
        <v>#NUM!</v>
      </c>
      <c r="AQ18" s="292" t="str">
        <f t="shared" si="4"/>
        <v>M</v>
      </c>
      <c r="AR18" s="292" t="str">
        <f t="shared" si="4"/>
        <v>M</v>
      </c>
      <c r="AS18" s="292" t="str">
        <f t="shared" si="4"/>
        <v>M</v>
      </c>
      <c r="AT18" s="292" t="str">
        <f t="shared" si="4"/>
        <v>M</v>
      </c>
      <c r="AU18" s="292" t="str">
        <f t="shared" si="4"/>
        <v>M</v>
      </c>
      <c r="AV18" s="292" t="str">
        <f t="shared" si="4"/>
        <v>M</v>
      </c>
      <c r="AW18" s="292" t="str">
        <f t="shared" si="4"/>
        <v>M</v>
      </c>
      <c r="AX18" s="215"/>
      <c r="AY18" s="214">
        <f t="shared" si="5"/>
        <v>0</v>
      </c>
      <c r="AZ18" s="214">
        <f t="shared" si="5"/>
        <v>0</v>
      </c>
      <c r="BA18" s="214">
        <f t="shared" si="5"/>
        <v>0</v>
      </c>
      <c r="BB18" s="214">
        <f t="shared" si="5"/>
        <v>0</v>
      </c>
      <c r="BC18" s="214">
        <f t="shared" si="5"/>
        <v>0</v>
      </c>
      <c r="BD18" s="214">
        <f t="shared" si="5"/>
        <v>0</v>
      </c>
      <c r="BE18" s="214">
        <f t="shared" si="5"/>
        <v>0</v>
      </c>
      <c r="BH18" s="217" t="str">
        <f>IF(OR(E18="",F18="",G18=""),"M",1)</f>
        <v>M</v>
      </c>
      <c r="BI18" s="217" t="str">
        <f>IF(OR(H18="",I18="",J18=""),"M",1)</f>
        <v>M</v>
      </c>
      <c r="BJ18" s="217" t="str">
        <f>IF(OR(K18="",L18="",M18=""),"M",1)</f>
        <v>M</v>
      </c>
      <c r="BK18" s="217" t="str">
        <f>IF(OR(N18="",O18="",P18=""),"M",1)</f>
        <v>M</v>
      </c>
      <c r="BL18" s="217" t="str">
        <f>IF(OR(Q18="",R18="",S18=""),"M",1)</f>
        <v>M</v>
      </c>
      <c r="BM18" s="217">
        <f>IF(AND(BH18="M",BI18="M",BJ18="M",BK18="M",BL18="M",D18=""),0,1)</f>
        <v>0</v>
      </c>
      <c r="BN18" s="216"/>
      <c r="BO18" s="216"/>
      <c r="BP18" s="280" t="s">
        <v>63</v>
      </c>
    </row>
    <row r="19" spans="1:68" ht="17.25" customHeight="1">
      <c r="A19" s="296">
        <v>-80</v>
      </c>
      <c r="B19" s="297">
        <f t="shared" si="0"/>
        <v>-80</v>
      </c>
      <c r="C19" s="298">
        <f t="shared" si="0"/>
        <v>-80</v>
      </c>
      <c r="D19" s="241"/>
      <c r="E19" s="46"/>
      <c r="F19" s="47"/>
      <c r="G19" s="48"/>
      <c r="H19" s="46"/>
      <c r="I19" s="47"/>
      <c r="J19" s="48"/>
      <c r="K19" s="46"/>
      <c r="L19" s="47"/>
      <c r="M19" s="48"/>
      <c r="N19" s="46"/>
      <c r="O19" s="47"/>
      <c r="P19" s="48"/>
      <c r="Q19" s="46"/>
      <c r="R19" s="47"/>
      <c r="S19" s="94"/>
      <c r="T19" s="92" t="str">
        <f>IF(BM19=0,"M",IF(D19="p1",AK19,IF(D19="p2",AL19,IF(D19="A",0,((E19*F19)*G19/0.6)+((H19*I19)*J19/0.6)+((K19*L19)*M19/0.6)+((N19*O19)*P19/0.6)+((Q19*R19)*S19/0.6)))))</f>
        <v>M</v>
      </c>
      <c r="U19" s="264" t="str">
        <f>IF(T19=Calculator!T19,"VALID","ERROR")</f>
        <v>VALID</v>
      </c>
      <c r="V19" s="127"/>
      <c r="W19" s="305">
        <f t="shared" si="1"/>
        <v>0</v>
      </c>
      <c r="X19" s="209"/>
      <c r="Y19" s="209"/>
      <c r="Z19" s="209"/>
      <c r="AA19" s="209"/>
      <c r="AB19" s="256"/>
      <c r="AC19" s="260"/>
      <c r="AD19" s="268"/>
      <c r="AE19" s="268"/>
      <c r="AF19" s="268"/>
      <c r="AG19" s="268"/>
      <c r="AH19" s="269"/>
      <c r="AK19" s="212" t="b">
        <f t="shared" si="2"/>
        <v>0</v>
      </c>
      <c r="AL19" s="212" t="b">
        <f t="shared" si="3"/>
        <v>0</v>
      </c>
      <c r="AM19" s="212" t="str">
        <f>IF(D19="p1",AP19,"no")</f>
        <v>no</v>
      </c>
      <c r="AN19" s="212" t="str">
        <f>IF(D19="p2",AP19,"no")</f>
        <v>no</v>
      </c>
      <c r="AO19" s="213"/>
      <c r="AP19" s="212" t="e">
        <f>WEEKDAY(C19)</f>
        <v>#NUM!</v>
      </c>
      <c r="AQ19" s="292" t="str">
        <f t="shared" si="4"/>
        <v>M</v>
      </c>
      <c r="AR19" s="292" t="str">
        <f t="shared" si="4"/>
        <v>M</v>
      </c>
      <c r="AS19" s="292" t="str">
        <f t="shared" si="4"/>
        <v>M</v>
      </c>
      <c r="AT19" s="292" t="str">
        <f t="shared" si="4"/>
        <v>M</v>
      </c>
      <c r="AU19" s="292" t="str">
        <f t="shared" si="4"/>
        <v>M</v>
      </c>
      <c r="AV19" s="292" t="str">
        <f t="shared" si="4"/>
        <v>M</v>
      </c>
      <c r="AW19" s="292" t="str">
        <f t="shared" si="4"/>
        <v>M</v>
      </c>
      <c r="AX19" s="215"/>
      <c r="AY19" s="214">
        <f t="shared" si="5"/>
        <v>0</v>
      </c>
      <c r="AZ19" s="214">
        <f t="shared" si="5"/>
        <v>0</v>
      </c>
      <c r="BA19" s="214">
        <f t="shared" si="5"/>
        <v>0</v>
      </c>
      <c r="BB19" s="214">
        <f t="shared" si="5"/>
        <v>0</v>
      </c>
      <c r="BC19" s="214">
        <f t="shared" si="5"/>
        <v>0</v>
      </c>
      <c r="BD19" s="214">
        <f t="shared" si="5"/>
        <v>0</v>
      </c>
      <c r="BE19" s="214">
        <f t="shared" si="5"/>
        <v>0</v>
      </c>
      <c r="BH19" s="217" t="str">
        <f>IF(OR(E19="",F19="",G19=""),"M",1)</f>
        <v>M</v>
      </c>
      <c r="BI19" s="217" t="str">
        <f>IF(OR(H19="",I19="",J19=""),"M",1)</f>
        <v>M</v>
      </c>
      <c r="BJ19" s="217" t="str">
        <f>IF(OR(K19="",L19="",M19=""),"M",1)</f>
        <v>M</v>
      </c>
      <c r="BK19" s="217" t="str">
        <f>IF(OR(N19="",O19="",P19=""),"M",1)</f>
        <v>M</v>
      </c>
      <c r="BL19" s="217" t="str">
        <f>IF(OR(Q19="",R19="",S19=""),"M",1)</f>
        <v>M</v>
      </c>
      <c r="BM19" s="217">
        <f>IF(AND(BH19="M",BI19="M",BJ19="M",BK19="M",BL19="M",D19=""),0,1)</f>
        <v>0</v>
      </c>
      <c r="BN19" s="216"/>
      <c r="BO19" s="216"/>
      <c r="BP19" s="280" t="s">
        <v>64</v>
      </c>
    </row>
    <row r="20" spans="1:68" ht="17.25" customHeight="1">
      <c r="A20" s="296">
        <v>-79</v>
      </c>
      <c r="B20" s="297">
        <f t="shared" si="0"/>
        <v>-79</v>
      </c>
      <c r="C20" s="298">
        <f t="shared" si="0"/>
        <v>-79</v>
      </c>
      <c r="D20" s="242"/>
      <c r="E20" s="46"/>
      <c r="F20" s="47"/>
      <c r="G20" s="48"/>
      <c r="H20" s="46"/>
      <c r="I20" s="47"/>
      <c r="J20" s="48"/>
      <c r="K20" s="46"/>
      <c r="L20" s="47"/>
      <c r="M20" s="48"/>
      <c r="N20" s="46"/>
      <c r="O20" s="47"/>
      <c r="P20" s="48"/>
      <c r="Q20" s="46"/>
      <c r="R20" s="47"/>
      <c r="S20" s="94"/>
      <c r="T20" s="92" t="str">
        <f>IF(BM20=0,"M",IF(D20="p1",AK20,IF(D20="p2",AL20,IF(D20="A",0,((E20*F20)*G20/0.6)+((H20*I20)*J20/0.6)+((K20*L20)*M20/0.6)+((N20*O20)*P20/0.6)+((Q20*R20)*S20/0.6)))))</f>
        <v>M</v>
      </c>
      <c r="U20" s="264" t="str">
        <f>IF(T20=Calculator!T20,"VALID","ERROR")</f>
        <v>VALID</v>
      </c>
      <c r="V20" s="127"/>
      <c r="W20" s="305">
        <f t="shared" si="1"/>
        <v>0</v>
      </c>
      <c r="X20" s="209"/>
      <c r="Y20" s="209"/>
      <c r="Z20" s="209"/>
      <c r="AA20" s="209"/>
      <c r="AB20" s="257"/>
      <c r="AC20" s="209"/>
      <c r="AD20" s="271"/>
      <c r="AE20" s="271"/>
      <c r="AF20" s="271"/>
      <c r="AG20" s="271"/>
      <c r="AH20" s="271"/>
      <c r="AK20" s="212" t="b">
        <f t="shared" si="2"/>
        <v>0</v>
      </c>
      <c r="AL20" s="212" t="b">
        <f t="shared" si="3"/>
        <v>0</v>
      </c>
      <c r="AM20" s="212" t="str">
        <f>IF(D20="p1",AP20,"no")</f>
        <v>no</v>
      </c>
      <c r="AN20" s="212" t="str">
        <f>IF(D20="p2",AP20,"no")</f>
        <v>no</v>
      </c>
      <c r="AO20" s="213"/>
      <c r="AP20" s="212" t="e">
        <f>WEEKDAY(C20)</f>
        <v>#NUM!</v>
      </c>
      <c r="AQ20" s="292" t="str">
        <f t="shared" si="4"/>
        <v>M</v>
      </c>
      <c r="AR20" s="292" t="str">
        <f t="shared" si="4"/>
        <v>M</v>
      </c>
      <c r="AS20" s="292" t="str">
        <f t="shared" si="4"/>
        <v>M</v>
      </c>
      <c r="AT20" s="292" t="str">
        <f t="shared" si="4"/>
        <v>M</v>
      </c>
      <c r="AU20" s="292" t="str">
        <f t="shared" si="4"/>
        <v>M</v>
      </c>
      <c r="AV20" s="292" t="str">
        <f t="shared" si="4"/>
        <v>M</v>
      </c>
      <c r="AW20" s="292" t="str">
        <f t="shared" si="4"/>
        <v>M</v>
      </c>
      <c r="AX20" s="215"/>
      <c r="AY20" s="214">
        <f t="shared" si="5"/>
        <v>0</v>
      </c>
      <c r="AZ20" s="214">
        <f t="shared" si="5"/>
        <v>0</v>
      </c>
      <c r="BA20" s="214">
        <f t="shared" si="5"/>
        <v>0</v>
      </c>
      <c r="BB20" s="214">
        <f t="shared" si="5"/>
        <v>0</v>
      </c>
      <c r="BC20" s="214">
        <f t="shared" si="5"/>
        <v>0</v>
      </c>
      <c r="BD20" s="214">
        <f t="shared" si="5"/>
        <v>0</v>
      </c>
      <c r="BE20" s="214">
        <f t="shared" si="5"/>
        <v>0</v>
      </c>
      <c r="BH20" s="217" t="str">
        <f>IF(OR(E20="",F20="",G20=""),"M",1)</f>
        <v>M</v>
      </c>
      <c r="BI20" s="217" t="str">
        <f>IF(OR(H20="",I20="",J20=""),"M",1)</f>
        <v>M</v>
      </c>
      <c r="BJ20" s="217" t="str">
        <f>IF(OR(K20="",L20="",M20=""),"M",1)</f>
        <v>M</v>
      </c>
      <c r="BK20" s="217" t="str">
        <f>IF(OR(N20="",O20="",P20=""),"M",1)</f>
        <v>M</v>
      </c>
      <c r="BL20" s="217" t="str">
        <f>IF(OR(Q20="",R20="",S20=""),"M",1)</f>
        <v>M</v>
      </c>
      <c r="BM20" s="217">
        <f>IF(AND(BH20="M",BI20="M",BJ20="M",BK20="M",BL20="M",D20=""),0,1)</f>
        <v>0</v>
      </c>
      <c r="BN20" s="216"/>
      <c r="BO20" s="216"/>
      <c r="BP20" s="218"/>
    </row>
    <row r="21" spans="1:68" ht="17.25" customHeight="1">
      <c r="A21" s="296">
        <v>-78</v>
      </c>
      <c r="B21" s="297">
        <f t="shared" si="0"/>
        <v>-78</v>
      </c>
      <c r="C21" s="298">
        <f t="shared" si="0"/>
        <v>-78</v>
      </c>
      <c r="D21" s="241"/>
      <c r="E21" s="46"/>
      <c r="F21" s="47"/>
      <c r="G21" s="48"/>
      <c r="H21" s="46"/>
      <c r="I21" s="47"/>
      <c r="J21" s="48"/>
      <c r="K21" s="46"/>
      <c r="L21" s="47"/>
      <c r="M21" s="48"/>
      <c r="N21" s="46"/>
      <c r="O21" s="47"/>
      <c r="P21" s="48"/>
      <c r="Q21" s="46"/>
      <c r="R21" s="47"/>
      <c r="S21" s="94"/>
      <c r="T21" s="92" t="str">
        <f>IF(BM21=0,"M",IF(D21="p1",AK21,IF(D21="p2",AL21,IF(D21="A",0,((E21*F21)*G21/0.6)+((H21*I21)*J21/0.6)+((K21*L21)*M21/0.6)+((N21*O21)*P21/0.6)+((Q21*R21)*S21/0.6)))))</f>
        <v>M</v>
      </c>
      <c r="U21" s="264" t="str">
        <f>IF(T21=Calculator!T21,"VALID","ERROR")</f>
        <v>VALID</v>
      </c>
      <c r="V21" s="127"/>
      <c r="W21" s="305">
        <f t="shared" si="1"/>
        <v>0</v>
      </c>
      <c r="X21" s="209"/>
      <c r="Y21" s="209"/>
      <c r="Z21" s="209"/>
      <c r="AA21" s="209"/>
      <c r="AB21" s="209"/>
      <c r="AC21" s="209"/>
      <c r="AD21" s="271"/>
      <c r="AE21" s="270"/>
      <c r="AF21" s="270"/>
      <c r="AG21" s="271"/>
      <c r="AH21" s="271"/>
      <c r="AK21" s="212" t="b">
        <f t="shared" si="2"/>
        <v>0</v>
      </c>
      <c r="AL21" s="212" t="b">
        <f t="shared" si="3"/>
        <v>0</v>
      </c>
      <c r="AM21" s="212" t="str">
        <f>IF(D21="p1",AP21,"no")</f>
        <v>no</v>
      </c>
      <c r="AN21" s="212" t="str">
        <f>IF(D21="p2",AP21,"no")</f>
        <v>no</v>
      </c>
      <c r="AO21" s="213"/>
      <c r="AP21" s="212" t="e">
        <f>WEEKDAY(C21)</f>
        <v>#NUM!</v>
      </c>
      <c r="AQ21" s="292" t="str">
        <f t="shared" si="4"/>
        <v>M</v>
      </c>
      <c r="AR21" s="292" t="str">
        <f t="shared" si="4"/>
        <v>M</v>
      </c>
      <c r="AS21" s="292" t="str">
        <f t="shared" si="4"/>
        <v>M</v>
      </c>
      <c r="AT21" s="292" t="str">
        <f t="shared" si="4"/>
        <v>M</v>
      </c>
      <c r="AU21" s="292" t="str">
        <f t="shared" si="4"/>
        <v>M</v>
      </c>
      <c r="AV21" s="292" t="str">
        <f t="shared" si="4"/>
        <v>M</v>
      </c>
      <c r="AW21" s="292" t="str">
        <f t="shared" si="4"/>
        <v>M</v>
      </c>
      <c r="AX21" s="215"/>
      <c r="AY21" s="214">
        <f t="shared" si="5"/>
        <v>0</v>
      </c>
      <c r="AZ21" s="214">
        <f t="shared" si="5"/>
        <v>0</v>
      </c>
      <c r="BA21" s="214">
        <f t="shared" si="5"/>
        <v>0</v>
      </c>
      <c r="BB21" s="214">
        <f t="shared" si="5"/>
        <v>0</v>
      </c>
      <c r="BC21" s="214">
        <f t="shared" si="5"/>
        <v>0</v>
      </c>
      <c r="BD21" s="214">
        <f t="shared" si="5"/>
        <v>0</v>
      </c>
      <c r="BE21" s="214">
        <f t="shared" si="5"/>
        <v>0</v>
      </c>
      <c r="BH21" s="217" t="str">
        <f>IF(OR(E21="",F21="",G21=""),"M",1)</f>
        <v>M</v>
      </c>
      <c r="BI21" s="217" t="str">
        <f>IF(OR(H21="",I21="",J21=""),"M",1)</f>
        <v>M</v>
      </c>
      <c r="BJ21" s="217" t="str">
        <f>IF(OR(K21="",L21="",M21=""),"M",1)</f>
        <v>M</v>
      </c>
      <c r="BK21" s="217" t="str">
        <f>IF(OR(N21="",O21="",P21=""),"M",1)</f>
        <v>M</v>
      </c>
      <c r="BL21" s="217" t="str">
        <f>IF(OR(Q21="",R21="",S21=""),"M",1)</f>
        <v>M</v>
      </c>
      <c r="BM21" s="217">
        <f>IF(AND(BH21="M",BI21="M",BJ21="M",BK21="M",BL21="M",D21=""),0,1)</f>
        <v>0</v>
      </c>
      <c r="BN21" s="216"/>
      <c r="BO21" s="216"/>
      <c r="BP21" s="218"/>
    </row>
    <row r="22" spans="1:68" ht="17.25" customHeight="1">
      <c r="A22" s="296">
        <v>-77</v>
      </c>
      <c r="B22" s="297">
        <f t="shared" si="0"/>
        <v>-77</v>
      </c>
      <c r="C22" s="298">
        <f t="shared" si="0"/>
        <v>-77</v>
      </c>
      <c r="D22" s="242"/>
      <c r="E22" s="46"/>
      <c r="F22" s="47"/>
      <c r="G22" s="48"/>
      <c r="H22" s="46"/>
      <c r="I22" s="47"/>
      <c r="J22" s="48"/>
      <c r="K22" s="46"/>
      <c r="L22" s="47"/>
      <c r="M22" s="48"/>
      <c r="N22" s="46"/>
      <c r="O22" s="47"/>
      <c r="P22" s="48"/>
      <c r="Q22" s="46"/>
      <c r="R22" s="47"/>
      <c r="S22" s="94"/>
      <c r="T22" s="92" t="str">
        <f>IF(BM22=0,"M",IF(D22="p1",AK22,IF(D22="p2",AL22,IF(D22="A",0,((E22*F22)*G22/0.6)+((H22*I22)*J22/0.6)+((K22*L22)*M22/0.6)+((N22*O22)*P22/0.6)+((Q22*R22)*S22/0.6)))))</f>
        <v>M</v>
      </c>
      <c r="U22" s="264" t="str">
        <f>IF(T22=Calculator!T22,"VALID","ERROR")</f>
        <v>VALID</v>
      </c>
      <c r="V22" s="127"/>
      <c r="W22" s="305">
        <f t="shared" si="1"/>
        <v>0</v>
      </c>
      <c r="X22" s="209"/>
      <c r="Y22" s="209"/>
      <c r="Z22" s="209"/>
      <c r="AA22" s="209"/>
      <c r="AB22" s="250"/>
      <c r="AC22" s="250"/>
      <c r="AD22" s="275"/>
      <c r="AE22" s="267"/>
      <c r="AF22" s="275"/>
      <c r="AG22" s="267"/>
      <c r="AH22" s="267"/>
      <c r="AK22" s="212" t="b">
        <f t="shared" si="2"/>
        <v>0</v>
      </c>
      <c r="AL22" s="212" t="b">
        <f t="shared" si="3"/>
        <v>0</v>
      </c>
      <c r="AM22" s="212" t="str">
        <f>IF(D22="p1",AP22,"no")</f>
        <v>no</v>
      </c>
      <c r="AN22" s="212" t="str">
        <f>IF(D22="p2",AP22,"no")</f>
        <v>no</v>
      </c>
      <c r="AO22" s="213"/>
      <c r="AP22" s="212" t="e">
        <f>WEEKDAY(C22)</f>
        <v>#NUM!</v>
      </c>
      <c r="AQ22" s="292" t="str">
        <f t="shared" si="4"/>
        <v>M</v>
      </c>
      <c r="AR22" s="292" t="str">
        <f t="shared" si="4"/>
        <v>M</v>
      </c>
      <c r="AS22" s="292" t="str">
        <f t="shared" si="4"/>
        <v>M</v>
      </c>
      <c r="AT22" s="292" t="str">
        <f t="shared" si="4"/>
        <v>M</v>
      </c>
      <c r="AU22" s="292" t="str">
        <f t="shared" si="4"/>
        <v>M</v>
      </c>
      <c r="AV22" s="292" t="str">
        <f t="shared" si="4"/>
        <v>M</v>
      </c>
      <c r="AW22" s="292" t="str">
        <f t="shared" si="4"/>
        <v>M</v>
      </c>
      <c r="AX22" s="215"/>
      <c r="AY22" s="214">
        <f t="shared" si="5"/>
        <v>0</v>
      </c>
      <c r="AZ22" s="214">
        <f t="shared" si="5"/>
        <v>0</v>
      </c>
      <c r="BA22" s="214">
        <f t="shared" si="5"/>
        <v>0</v>
      </c>
      <c r="BB22" s="214">
        <f t="shared" si="5"/>
        <v>0</v>
      </c>
      <c r="BC22" s="214">
        <f t="shared" si="5"/>
        <v>0</v>
      </c>
      <c r="BD22" s="214">
        <f t="shared" si="5"/>
        <v>0</v>
      </c>
      <c r="BE22" s="214">
        <f t="shared" si="5"/>
        <v>0</v>
      </c>
      <c r="BH22" s="217" t="str">
        <f>IF(OR(E22="",F22="",G22=""),"M",1)</f>
        <v>M</v>
      </c>
      <c r="BI22" s="217" t="str">
        <f>IF(OR(H22="",I22="",J22=""),"M",1)</f>
        <v>M</v>
      </c>
      <c r="BJ22" s="217" t="str">
        <f>IF(OR(K22="",L22="",M22=""),"M",1)</f>
        <v>M</v>
      </c>
      <c r="BK22" s="217" t="str">
        <f>IF(OR(N22="",O22="",P22=""),"M",1)</f>
        <v>M</v>
      </c>
      <c r="BL22" s="217" t="str">
        <f>IF(OR(Q22="",R22="",S22=""),"M",1)</f>
        <v>M</v>
      </c>
      <c r="BM22" s="217">
        <f>IF(AND(BH22="M",BI22="M",BJ22="M",BK22="M",BL22="M",D22=""),0,1)</f>
        <v>0</v>
      </c>
      <c r="BN22" s="216"/>
      <c r="BO22" s="216"/>
      <c r="BP22" s="218"/>
    </row>
    <row r="23" spans="1:68" ht="17.25" customHeight="1">
      <c r="A23" s="296">
        <v>-76</v>
      </c>
      <c r="B23" s="297">
        <f t="shared" si="0"/>
        <v>-76</v>
      </c>
      <c r="C23" s="298">
        <f t="shared" si="0"/>
        <v>-76</v>
      </c>
      <c r="D23" s="241"/>
      <c r="E23" s="46"/>
      <c r="F23" s="47"/>
      <c r="G23" s="48"/>
      <c r="H23" s="46"/>
      <c r="I23" s="47"/>
      <c r="J23" s="48"/>
      <c r="K23" s="46"/>
      <c r="L23" s="47"/>
      <c r="M23" s="48"/>
      <c r="N23" s="46"/>
      <c r="O23" s="47"/>
      <c r="P23" s="48"/>
      <c r="Q23" s="46"/>
      <c r="R23" s="47"/>
      <c r="S23" s="94"/>
      <c r="T23" s="92" t="str">
        <f>IF(BM23=0,"M",IF(D23="p1",AK23,IF(D23="p2",AL23,IF(D23="A",0,((E23*F23)*G23/0.6)+((H23*I23)*J23/0.6)+((K23*L23)*M23/0.6)+((N23*O23)*P23/0.6)+((Q23*R23)*S23/0.6)))))</f>
        <v>M</v>
      </c>
      <c r="U23" s="264" t="str">
        <f>IF(T23=Calculator!T23,"VALID","ERROR")</f>
        <v>VALID</v>
      </c>
      <c r="V23" s="127"/>
      <c r="W23" s="305">
        <f t="shared" si="1"/>
        <v>0</v>
      </c>
      <c r="X23" s="209"/>
      <c r="Y23" s="209"/>
      <c r="Z23" s="209"/>
      <c r="AA23" s="209"/>
      <c r="AB23" s="250"/>
      <c r="AC23" s="259"/>
      <c r="AD23" s="274"/>
      <c r="AE23" s="267"/>
      <c r="AF23" s="267"/>
      <c r="AG23" s="267"/>
      <c r="AH23" s="267"/>
      <c r="AK23" s="212" t="b">
        <f t="shared" si="2"/>
        <v>0</v>
      </c>
      <c r="AL23" s="212" t="b">
        <f t="shared" si="3"/>
        <v>0</v>
      </c>
      <c r="AM23" s="212" t="str">
        <f>IF(D23="p1",AP23,"no")</f>
        <v>no</v>
      </c>
      <c r="AN23" s="212" t="str">
        <f>IF(D23="p2",AP23,"no")</f>
        <v>no</v>
      </c>
      <c r="AO23" s="213"/>
      <c r="AP23" s="212" t="e">
        <f>WEEKDAY(C23)</f>
        <v>#NUM!</v>
      </c>
      <c r="AQ23" s="292" t="str">
        <f t="shared" si="4"/>
        <v>M</v>
      </c>
      <c r="AR23" s="292" t="str">
        <f t="shared" si="4"/>
        <v>M</v>
      </c>
      <c r="AS23" s="292" t="str">
        <f t="shared" si="4"/>
        <v>M</v>
      </c>
      <c r="AT23" s="292" t="str">
        <f t="shared" si="4"/>
        <v>M</v>
      </c>
      <c r="AU23" s="292" t="str">
        <f t="shared" si="4"/>
        <v>M</v>
      </c>
      <c r="AV23" s="292" t="str">
        <f t="shared" si="4"/>
        <v>M</v>
      </c>
      <c r="AW23" s="292" t="str">
        <f t="shared" si="4"/>
        <v>M</v>
      </c>
      <c r="AX23" s="215"/>
      <c r="AY23" s="214">
        <f t="shared" si="5"/>
        <v>0</v>
      </c>
      <c r="AZ23" s="214">
        <f t="shared" si="5"/>
        <v>0</v>
      </c>
      <c r="BA23" s="214">
        <f t="shared" si="5"/>
        <v>0</v>
      </c>
      <c r="BB23" s="214">
        <f t="shared" si="5"/>
        <v>0</v>
      </c>
      <c r="BC23" s="214">
        <f t="shared" si="5"/>
        <v>0</v>
      </c>
      <c r="BD23" s="214">
        <f t="shared" si="5"/>
        <v>0</v>
      </c>
      <c r="BE23" s="214">
        <f t="shared" si="5"/>
        <v>0</v>
      </c>
      <c r="BH23" s="217" t="str">
        <f>IF(OR(E23="",F23="",G23=""),"M",1)</f>
        <v>M</v>
      </c>
      <c r="BI23" s="217" t="str">
        <f>IF(OR(H23="",I23="",J23=""),"M",1)</f>
        <v>M</v>
      </c>
      <c r="BJ23" s="217" t="str">
        <f>IF(OR(K23="",L23="",M23=""),"M",1)</f>
        <v>M</v>
      </c>
      <c r="BK23" s="217" t="str">
        <f>IF(OR(N23="",O23="",P23=""),"M",1)</f>
        <v>M</v>
      </c>
      <c r="BL23" s="217" t="str">
        <f>IF(OR(Q23="",R23="",S23=""),"M",1)</f>
        <v>M</v>
      </c>
      <c r="BM23" s="217">
        <f>IF(AND(BH23="M",BI23="M",BJ23="M",BK23="M",BL23="M",D23=""),0,1)</f>
        <v>0</v>
      </c>
      <c r="BN23" s="216"/>
      <c r="BO23" s="216"/>
      <c r="BP23" s="218"/>
    </row>
    <row r="24" spans="1:68" ht="17.25" customHeight="1">
      <c r="A24" s="296">
        <v>-75</v>
      </c>
      <c r="B24" s="297">
        <f t="shared" si="0"/>
        <v>-75</v>
      </c>
      <c r="C24" s="298">
        <f t="shared" si="0"/>
        <v>-75</v>
      </c>
      <c r="D24" s="242"/>
      <c r="E24" s="46"/>
      <c r="F24" s="47"/>
      <c r="G24" s="48"/>
      <c r="H24" s="46"/>
      <c r="I24" s="47"/>
      <c r="J24" s="48"/>
      <c r="K24" s="46"/>
      <c r="L24" s="47"/>
      <c r="M24" s="48"/>
      <c r="N24" s="46"/>
      <c r="O24" s="47"/>
      <c r="P24" s="48"/>
      <c r="Q24" s="46"/>
      <c r="R24" s="47"/>
      <c r="S24" s="94"/>
      <c r="T24" s="92" t="str">
        <f>IF(BM24=0,"M",IF(D24="p1",AK24,IF(D24="p2",AL24,IF(D24="A",0,((E24*F24)*G24/0.6)+((H24*I24)*J24/0.6)+((K24*L24)*M24/0.6)+((N24*O24)*P24/0.6)+((Q24*R24)*S24/0.6)))))</f>
        <v>M</v>
      </c>
      <c r="U24" s="264" t="str">
        <f>IF(T24=Calculator!T24,"VALID","ERROR")</f>
        <v>VALID</v>
      </c>
      <c r="V24" s="127"/>
      <c r="W24" s="305">
        <f t="shared" si="1"/>
        <v>0</v>
      </c>
      <c r="X24" s="209"/>
      <c r="Y24" s="209"/>
      <c r="Z24" s="209"/>
      <c r="AA24" s="209"/>
      <c r="AB24" s="250"/>
      <c r="AC24" s="259"/>
      <c r="AD24" s="274"/>
      <c r="AE24" s="267"/>
      <c r="AF24" s="267"/>
      <c r="AG24" s="267"/>
      <c r="AH24" s="267"/>
      <c r="AK24" s="212" t="b">
        <f t="shared" si="2"/>
        <v>0</v>
      </c>
      <c r="AL24" s="212" t="b">
        <f t="shared" si="3"/>
        <v>0</v>
      </c>
      <c r="AM24" s="212" t="str">
        <f>IF(D24="p1",AP24,"no")</f>
        <v>no</v>
      </c>
      <c r="AN24" s="212" t="str">
        <f>IF(D24="p2",AP24,"no")</f>
        <v>no</v>
      </c>
      <c r="AO24" s="213"/>
      <c r="AP24" s="212" t="e">
        <f>WEEKDAY(C24)</f>
        <v>#NUM!</v>
      </c>
      <c r="AQ24" s="292" t="str">
        <f t="shared" si="4"/>
        <v>M</v>
      </c>
      <c r="AR24" s="292" t="str">
        <f t="shared" si="4"/>
        <v>M</v>
      </c>
      <c r="AS24" s="292" t="str">
        <f t="shared" si="4"/>
        <v>M</v>
      </c>
      <c r="AT24" s="292" t="str">
        <f t="shared" si="4"/>
        <v>M</v>
      </c>
      <c r="AU24" s="292" t="str">
        <f t="shared" si="4"/>
        <v>M</v>
      </c>
      <c r="AV24" s="292" t="str">
        <f t="shared" si="4"/>
        <v>M</v>
      </c>
      <c r="AW24" s="292" t="str">
        <f t="shared" si="4"/>
        <v>M</v>
      </c>
      <c r="AX24" s="215"/>
      <c r="AY24" s="214">
        <f t="shared" si="5"/>
        <v>0</v>
      </c>
      <c r="AZ24" s="214">
        <f t="shared" si="5"/>
        <v>0</v>
      </c>
      <c r="BA24" s="214">
        <f t="shared" si="5"/>
        <v>0</v>
      </c>
      <c r="BB24" s="214">
        <f t="shared" si="5"/>
        <v>0</v>
      </c>
      <c r="BC24" s="214">
        <f t="shared" si="5"/>
        <v>0</v>
      </c>
      <c r="BD24" s="214">
        <f t="shared" si="5"/>
        <v>0</v>
      </c>
      <c r="BE24" s="214">
        <f t="shared" si="5"/>
        <v>0</v>
      </c>
      <c r="BH24" s="217" t="str">
        <f>IF(OR(E24="",F24="",G24=""),"M",1)</f>
        <v>M</v>
      </c>
      <c r="BI24" s="217" t="str">
        <f>IF(OR(H24="",I24="",J24=""),"M",1)</f>
        <v>M</v>
      </c>
      <c r="BJ24" s="217" t="str">
        <f>IF(OR(K24="",L24="",M24=""),"M",1)</f>
        <v>M</v>
      </c>
      <c r="BK24" s="217" t="str">
        <f>IF(OR(N24="",O24="",P24=""),"M",1)</f>
        <v>M</v>
      </c>
      <c r="BL24" s="217" t="str">
        <f>IF(OR(Q24="",R24="",S24=""),"M",1)</f>
        <v>M</v>
      </c>
      <c r="BM24" s="217">
        <f>IF(AND(BH24="M",BI24="M",BJ24="M",BK24="M",BL24="M",D24=""),0,1)</f>
        <v>0</v>
      </c>
      <c r="BN24" s="216"/>
      <c r="BO24" s="216"/>
      <c r="BP24" s="218"/>
    </row>
    <row r="25" spans="1:68" ht="17.25" customHeight="1">
      <c r="A25" s="296">
        <v>-74</v>
      </c>
      <c r="B25" s="297">
        <f t="shared" si="0"/>
        <v>-74</v>
      </c>
      <c r="C25" s="298">
        <f t="shared" si="0"/>
        <v>-74</v>
      </c>
      <c r="D25" s="241"/>
      <c r="E25" s="46"/>
      <c r="F25" s="47"/>
      <c r="G25" s="48"/>
      <c r="H25" s="46"/>
      <c r="I25" s="47"/>
      <c r="J25" s="48"/>
      <c r="K25" s="46"/>
      <c r="L25" s="47"/>
      <c r="M25" s="48"/>
      <c r="N25" s="46"/>
      <c r="O25" s="47"/>
      <c r="P25" s="48"/>
      <c r="Q25" s="46"/>
      <c r="R25" s="47"/>
      <c r="S25" s="94"/>
      <c r="T25" s="92" t="str">
        <f>IF(BM25=0,"M",IF(D25="p1",AK25,IF(D25="p2",AL25,IF(D25="A",0,((E25*F25)*G25/0.6)+((H25*I25)*J25/0.6)+((K25*L25)*M25/0.6)+((N25*O25)*P25/0.6)+((Q25*R25)*S25/0.6)))))</f>
        <v>M</v>
      </c>
      <c r="U25" s="264" t="str">
        <f>IF(T25=Calculator!T25,"VALID","ERROR")</f>
        <v>VALID</v>
      </c>
      <c r="V25" s="127"/>
      <c r="W25" s="305">
        <f t="shared" si="1"/>
        <v>0</v>
      </c>
      <c r="X25" s="209"/>
      <c r="Y25" s="209"/>
      <c r="Z25" s="209"/>
      <c r="AA25" s="209"/>
      <c r="AB25" s="257"/>
      <c r="AC25" s="261"/>
      <c r="AD25" s="276"/>
      <c r="AE25" s="276"/>
      <c r="AF25" s="276"/>
      <c r="AG25" s="276"/>
      <c r="AH25" s="276"/>
      <c r="AK25" s="212" t="b">
        <f t="shared" si="2"/>
        <v>0</v>
      </c>
      <c r="AL25" s="212" t="b">
        <f t="shared" si="3"/>
        <v>0</v>
      </c>
      <c r="AM25" s="212" t="str">
        <f>IF(D25="p1",AP25,"no")</f>
        <v>no</v>
      </c>
      <c r="AN25" s="212" t="str">
        <f>IF(D25="p2",AP25,"no")</f>
        <v>no</v>
      </c>
      <c r="AO25" s="213"/>
      <c r="AP25" s="212" t="e">
        <f>WEEKDAY(C25)</f>
        <v>#NUM!</v>
      </c>
      <c r="AQ25" s="292" t="str">
        <f t="shared" si="4"/>
        <v>M</v>
      </c>
      <c r="AR25" s="292" t="str">
        <f t="shared" si="4"/>
        <v>M</v>
      </c>
      <c r="AS25" s="292" t="str">
        <f t="shared" si="4"/>
        <v>M</v>
      </c>
      <c r="AT25" s="292" t="str">
        <f t="shared" si="4"/>
        <v>M</v>
      </c>
      <c r="AU25" s="292" t="str">
        <f t="shared" si="4"/>
        <v>M</v>
      </c>
      <c r="AV25" s="292" t="str">
        <f t="shared" si="4"/>
        <v>M</v>
      </c>
      <c r="AW25" s="292" t="str">
        <f t="shared" si="4"/>
        <v>M</v>
      </c>
      <c r="AX25" s="215"/>
      <c r="AY25" s="214">
        <f t="shared" si="5"/>
        <v>0</v>
      </c>
      <c r="AZ25" s="214">
        <f t="shared" si="5"/>
        <v>0</v>
      </c>
      <c r="BA25" s="214">
        <f t="shared" si="5"/>
        <v>0</v>
      </c>
      <c r="BB25" s="214">
        <f t="shared" si="5"/>
        <v>0</v>
      </c>
      <c r="BC25" s="214">
        <f t="shared" si="5"/>
        <v>0</v>
      </c>
      <c r="BD25" s="214">
        <f t="shared" si="5"/>
        <v>0</v>
      </c>
      <c r="BE25" s="214">
        <f t="shared" si="5"/>
        <v>0</v>
      </c>
      <c r="BH25" s="217" t="str">
        <f>IF(OR(E25="",F25="",G25=""),"M",1)</f>
        <v>M</v>
      </c>
      <c r="BI25" s="217" t="str">
        <f>IF(OR(H25="",I25="",J25=""),"M",1)</f>
        <v>M</v>
      </c>
      <c r="BJ25" s="217" t="str">
        <f>IF(OR(K25="",L25="",M25=""),"M",1)</f>
        <v>M</v>
      </c>
      <c r="BK25" s="217" t="str">
        <f>IF(OR(N25="",O25="",P25=""),"M",1)</f>
        <v>M</v>
      </c>
      <c r="BL25" s="217" t="str">
        <f>IF(OR(Q25="",R25="",S25=""),"M",1)</f>
        <v>M</v>
      </c>
      <c r="BM25" s="217">
        <f>IF(AND(BH25="M",BI25="M",BJ25="M",BK25="M",BL25="M",D25=""),0,1)</f>
        <v>0</v>
      </c>
      <c r="BN25" s="216"/>
      <c r="BO25" s="216"/>
      <c r="BP25" s="218"/>
    </row>
    <row r="26" spans="1:68" ht="17.25" customHeight="1">
      <c r="A26" s="296">
        <v>-73</v>
      </c>
      <c r="B26" s="297">
        <f t="shared" si="0"/>
        <v>-73</v>
      </c>
      <c r="C26" s="298">
        <f t="shared" si="0"/>
        <v>-73</v>
      </c>
      <c r="D26" s="242"/>
      <c r="E26" s="46"/>
      <c r="F26" s="47"/>
      <c r="G26" s="48"/>
      <c r="H26" s="46"/>
      <c r="I26" s="47"/>
      <c r="J26" s="48"/>
      <c r="K26" s="46"/>
      <c r="L26" s="47"/>
      <c r="M26" s="48"/>
      <c r="N26" s="46"/>
      <c r="O26" s="47"/>
      <c r="P26" s="48"/>
      <c r="Q26" s="46"/>
      <c r="R26" s="47"/>
      <c r="S26" s="94"/>
      <c r="T26" s="92" t="str">
        <f>IF(BM26=0,"M",IF(D26="p1",AK26,IF(D26="p2",AL26,IF(D26="A",0,((E26*F26)*G26/0.6)+((H26*I26)*J26/0.6)+((K26*L26)*M26/0.6)+((N26*O26)*P26/0.6)+((Q26*R26)*S26/0.6)))))</f>
        <v>M</v>
      </c>
      <c r="U26" s="264" t="str">
        <f>IF(T26=Calculator!T26,"VALID","ERROR")</f>
        <v>VALID</v>
      </c>
      <c r="V26" s="127"/>
      <c r="W26" s="305">
        <f t="shared" si="1"/>
        <v>0</v>
      </c>
      <c r="X26" s="209"/>
      <c r="Y26" s="209"/>
      <c r="Z26" s="209"/>
      <c r="AA26" s="209"/>
      <c r="AB26" s="250"/>
      <c r="AC26" s="250"/>
      <c r="AD26" s="277"/>
      <c r="AE26" s="275"/>
      <c r="AF26" s="275"/>
      <c r="AG26" s="267"/>
      <c r="AH26" s="267"/>
      <c r="AK26" s="212" t="b">
        <f t="shared" si="2"/>
        <v>0</v>
      </c>
      <c r="AL26" s="212" t="b">
        <f t="shared" si="3"/>
        <v>0</v>
      </c>
      <c r="AM26" s="212" t="str">
        <f>IF(D26="p1",AP26,"no")</f>
        <v>no</v>
      </c>
      <c r="AN26" s="212" t="str">
        <f>IF(D26="p2",AP26,"no")</f>
        <v>no</v>
      </c>
      <c r="AO26" s="213"/>
      <c r="AP26" s="212" t="e">
        <f>WEEKDAY(C26)</f>
        <v>#NUM!</v>
      </c>
      <c r="AQ26" s="292" t="str">
        <f t="shared" ref="AQ26:AW41" si="6">AQ25</f>
        <v>M</v>
      </c>
      <c r="AR26" s="292" t="str">
        <f t="shared" si="6"/>
        <v>M</v>
      </c>
      <c r="AS26" s="292" t="str">
        <f t="shared" si="6"/>
        <v>M</v>
      </c>
      <c r="AT26" s="292" t="str">
        <f t="shared" si="6"/>
        <v>M</v>
      </c>
      <c r="AU26" s="292" t="str">
        <f t="shared" si="6"/>
        <v>M</v>
      </c>
      <c r="AV26" s="292" t="str">
        <f t="shared" si="6"/>
        <v>M</v>
      </c>
      <c r="AW26" s="292" t="str">
        <f t="shared" si="6"/>
        <v>M</v>
      </c>
      <c r="AX26" s="215"/>
      <c r="AY26" s="214">
        <f t="shared" ref="AY26:BE41" si="7">AY25</f>
        <v>0</v>
      </c>
      <c r="AZ26" s="214">
        <f t="shared" si="7"/>
        <v>0</v>
      </c>
      <c r="BA26" s="214">
        <f t="shared" si="7"/>
        <v>0</v>
      </c>
      <c r="BB26" s="214">
        <f t="shared" si="7"/>
        <v>0</v>
      </c>
      <c r="BC26" s="214">
        <f t="shared" si="7"/>
        <v>0</v>
      </c>
      <c r="BD26" s="214">
        <f t="shared" si="7"/>
        <v>0</v>
      </c>
      <c r="BE26" s="214">
        <f t="shared" si="7"/>
        <v>0</v>
      </c>
      <c r="BH26" s="217" t="str">
        <f>IF(OR(E26="",F26="",G26=""),"M",1)</f>
        <v>M</v>
      </c>
      <c r="BI26" s="217" t="str">
        <f>IF(OR(H26="",I26="",J26=""),"M",1)</f>
        <v>M</v>
      </c>
      <c r="BJ26" s="217" t="str">
        <f>IF(OR(K26="",L26="",M26=""),"M",1)</f>
        <v>M</v>
      </c>
      <c r="BK26" s="217" t="str">
        <f>IF(OR(N26="",O26="",P26=""),"M",1)</f>
        <v>M</v>
      </c>
      <c r="BL26" s="217" t="str">
        <f>IF(OR(Q26="",R26="",S26=""),"M",1)</f>
        <v>M</v>
      </c>
      <c r="BM26" s="217">
        <f>IF(AND(BH26="M",BI26="M",BJ26="M",BK26="M",BL26="M",D26=""),0,1)</f>
        <v>0</v>
      </c>
      <c r="BN26" s="216"/>
      <c r="BO26" s="216"/>
      <c r="BP26" s="218"/>
    </row>
    <row r="27" spans="1:68" ht="17.25" customHeight="1">
      <c r="A27" s="296">
        <v>-72</v>
      </c>
      <c r="B27" s="297">
        <f t="shared" si="0"/>
        <v>-72</v>
      </c>
      <c r="C27" s="298">
        <f t="shared" si="0"/>
        <v>-72</v>
      </c>
      <c r="D27" s="241"/>
      <c r="E27" s="46"/>
      <c r="F27" s="47"/>
      <c r="G27" s="48"/>
      <c r="H27" s="46"/>
      <c r="I27" s="47"/>
      <c r="J27" s="48"/>
      <c r="K27" s="46"/>
      <c r="L27" s="47"/>
      <c r="M27" s="48"/>
      <c r="N27" s="46"/>
      <c r="O27" s="47"/>
      <c r="P27" s="48"/>
      <c r="Q27" s="46"/>
      <c r="R27" s="47"/>
      <c r="S27" s="94"/>
      <c r="T27" s="92" t="str">
        <f>IF(BM27=0,"M",IF(D27="p1",AK27,IF(D27="p2",AL27,IF(D27="A",0,((E27*F27)*G27/0.6)+((H27*I27)*J27/0.6)+((K27*L27)*M27/0.6)+((N27*O27)*P27/0.6)+((Q27*R27)*S27/0.6)))))</f>
        <v>M</v>
      </c>
      <c r="U27" s="264" t="str">
        <f>IF(T27=Calculator!T27,"VALID","ERROR")</f>
        <v>VALID</v>
      </c>
      <c r="V27" s="127"/>
      <c r="W27" s="305">
        <f t="shared" si="1"/>
        <v>0</v>
      </c>
      <c r="X27" s="209"/>
      <c r="Y27" s="209"/>
      <c r="Z27" s="209"/>
      <c r="AA27" s="209"/>
      <c r="AB27" s="250"/>
      <c r="AC27" s="259"/>
      <c r="AD27" s="267"/>
      <c r="AE27" s="267"/>
      <c r="AF27" s="267"/>
      <c r="AG27" s="267"/>
      <c r="AH27" s="267"/>
      <c r="AK27" s="212" t="b">
        <f t="shared" si="2"/>
        <v>0</v>
      </c>
      <c r="AL27" s="212" t="b">
        <f t="shared" si="3"/>
        <v>0</v>
      </c>
      <c r="AM27" s="212" t="str">
        <f>IF(D27="p1",AP27,"no")</f>
        <v>no</v>
      </c>
      <c r="AN27" s="212" t="str">
        <f>IF(D27="p2",AP27,"no")</f>
        <v>no</v>
      </c>
      <c r="AO27" s="213"/>
      <c r="AP27" s="212" t="e">
        <f>WEEKDAY(C27)</f>
        <v>#NUM!</v>
      </c>
      <c r="AQ27" s="292" t="str">
        <f t="shared" si="6"/>
        <v>M</v>
      </c>
      <c r="AR27" s="292" t="str">
        <f t="shared" si="6"/>
        <v>M</v>
      </c>
      <c r="AS27" s="292" t="str">
        <f t="shared" si="6"/>
        <v>M</v>
      </c>
      <c r="AT27" s="292" t="str">
        <f t="shared" si="6"/>
        <v>M</v>
      </c>
      <c r="AU27" s="292" t="str">
        <f t="shared" si="6"/>
        <v>M</v>
      </c>
      <c r="AV27" s="292" t="str">
        <f t="shared" si="6"/>
        <v>M</v>
      </c>
      <c r="AW27" s="292" t="str">
        <f t="shared" si="6"/>
        <v>M</v>
      </c>
      <c r="AX27" s="215"/>
      <c r="AY27" s="214">
        <f t="shared" si="7"/>
        <v>0</v>
      </c>
      <c r="AZ27" s="214">
        <f t="shared" si="7"/>
        <v>0</v>
      </c>
      <c r="BA27" s="214">
        <f t="shared" si="7"/>
        <v>0</v>
      </c>
      <c r="BB27" s="214">
        <f t="shared" si="7"/>
        <v>0</v>
      </c>
      <c r="BC27" s="214">
        <f t="shared" si="7"/>
        <v>0</v>
      </c>
      <c r="BD27" s="214">
        <f t="shared" si="7"/>
        <v>0</v>
      </c>
      <c r="BE27" s="214">
        <f t="shared" si="7"/>
        <v>0</v>
      </c>
      <c r="BH27" s="217" t="str">
        <f>IF(OR(E27="",F27="",G27=""),"M",1)</f>
        <v>M</v>
      </c>
      <c r="BI27" s="217" t="str">
        <f>IF(OR(H27="",I27="",J27=""),"M",1)</f>
        <v>M</v>
      </c>
      <c r="BJ27" s="217" t="str">
        <f>IF(OR(K27="",L27="",M27=""),"M",1)</f>
        <v>M</v>
      </c>
      <c r="BK27" s="217" t="str">
        <f>IF(OR(N27="",O27="",P27=""),"M",1)</f>
        <v>M</v>
      </c>
      <c r="BL27" s="217" t="str">
        <f>IF(OR(Q27="",R27="",S27=""),"M",1)</f>
        <v>M</v>
      </c>
      <c r="BM27" s="217">
        <f>IF(AND(BH27="M",BI27="M",BJ27="M",BK27="M",BL27="M",D27=""),0,1)</f>
        <v>0</v>
      </c>
      <c r="BN27" s="216"/>
      <c r="BO27" s="216"/>
      <c r="BP27" s="218"/>
    </row>
    <row r="28" spans="1:68" ht="17.25" customHeight="1">
      <c r="A28" s="296">
        <v>-71</v>
      </c>
      <c r="B28" s="297">
        <f t="shared" si="0"/>
        <v>-71</v>
      </c>
      <c r="C28" s="298">
        <f t="shared" si="0"/>
        <v>-71</v>
      </c>
      <c r="D28" s="242"/>
      <c r="E28" s="46"/>
      <c r="F28" s="47"/>
      <c r="G28" s="48"/>
      <c r="H28" s="46"/>
      <c r="I28" s="47"/>
      <c r="J28" s="48"/>
      <c r="K28" s="46"/>
      <c r="L28" s="47"/>
      <c r="M28" s="48"/>
      <c r="N28" s="46"/>
      <c r="O28" s="47"/>
      <c r="P28" s="48"/>
      <c r="Q28" s="46"/>
      <c r="R28" s="47"/>
      <c r="S28" s="94"/>
      <c r="T28" s="92" t="str">
        <f>IF(BM28=0,"M",IF(D28="p1",AK28,IF(D28="p2",AL28,IF(D28="A",0,((E28*F28)*G28/0.6)+((H28*I28)*J28/0.6)+((K28*L28)*M28/0.6)+((N28*O28)*P28/0.6)+((Q28*R28)*S28/0.6)))))</f>
        <v>M</v>
      </c>
      <c r="U28" s="264" t="str">
        <f>IF(T28=Calculator!T28,"VALID","ERROR")</f>
        <v>VALID</v>
      </c>
      <c r="V28" s="127"/>
      <c r="W28" s="305">
        <f t="shared" si="1"/>
        <v>0</v>
      </c>
      <c r="X28" s="209"/>
      <c r="Y28" s="209"/>
      <c r="Z28" s="209"/>
      <c r="AA28" s="209"/>
      <c r="AB28" s="250"/>
      <c r="AC28" s="266"/>
      <c r="AD28" s="278"/>
      <c r="AE28" s="278"/>
      <c r="AF28" s="278"/>
      <c r="AG28" s="278"/>
      <c r="AH28" s="278"/>
      <c r="AK28" s="212" t="b">
        <f t="shared" si="2"/>
        <v>0</v>
      </c>
      <c r="AL28" s="212" t="b">
        <f t="shared" si="3"/>
        <v>0</v>
      </c>
      <c r="AM28" s="212" t="str">
        <f>IF(D28="p1",AP28,"no")</f>
        <v>no</v>
      </c>
      <c r="AN28" s="212" t="str">
        <f>IF(D28="p2",AP28,"no")</f>
        <v>no</v>
      </c>
      <c r="AO28" s="213"/>
      <c r="AP28" s="212" t="e">
        <f>WEEKDAY(C28)</f>
        <v>#NUM!</v>
      </c>
      <c r="AQ28" s="292" t="str">
        <f t="shared" si="6"/>
        <v>M</v>
      </c>
      <c r="AR28" s="292" t="str">
        <f t="shared" si="6"/>
        <v>M</v>
      </c>
      <c r="AS28" s="292" t="str">
        <f t="shared" si="6"/>
        <v>M</v>
      </c>
      <c r="AT28" s="292" t="str">
        <f t="shared" si="6"/>
        <v>M</v>
      </c>
      <c r="AU28" s="292" t="str">
        <f t="shared" si="6"/>
        <v>M</v>
      </c>
      <c r="AV28" s="292" t="str">
        <f t="shared" si="6"/>
        <v>M</v>
      </c>
      <c r="AW28" s="292" t="str">
        <f t="shared" si="6"/>
        <v>M</v>
      </c>
      <c r="AX28" s="215"/>
      <c r="AY28" s="214">
        <f t="shared" si="7"/>
        <v>0</v>
      </c>
      <c r="AZ28" s="214">
        <f t="shared" si="7"/>
        <v>0</v>
      </c>
      <c r="BA28" s="214">
        <f t="shared" si="7"/>
        <v>0</v>
      </c>
      <c r="BB28" s="214">
        <f t="shared" si="7"/>
        <v>0</v>
      </c>
      <c r="BC28" s="214">
        <f t="shared" si="7"/>
        <v>0</v>
      </c>
      <c r="BD28" s="214">
        <f t="shared" si="7"/>
        <v>0</v>
      </c>
      <c r="BE28" s="214">
        <f t="shared" si="7"/>
        <v>0</v>
      </c>
      <c r="BH28" s="217" t="str">
        <f>IF(OR(E28="",F28="",G28=""),"M",1)</f>
        <v>M</v>
      </c>
      <c r="BI28" s="217" t="str">
        <f>IF(OR(H28="",I28="",J28=""),"M",1)</f>
        <v>M</v>
      </c>
      <c r="BJ28" s="217" t="str">
        <f>IF(OR(K28="",L28="",M28=""),"M",1)</f>
        <v>M</v>
      </c>
      <c r="BK28" s="217" t="str">
        <f>IF(OR(N28="",O28="",P28=""),"M",1)</f>
        <v>M</v>
      </c>
      <c r="BL28" s="217" t="str">
        <f>IF(OR(Q28="",R28="",S28=""),"M",1)</f>
        <v>M</v>
      </c>
      <c r="BM28" s="217">
        <f>IF(AND(BH28="M",BI28="M",BJ28="M",BK28="M",BL28="M",D28=""),0,1)</f>
        <v>0</v>
      </c>
      <c r="BN28" s="216"/>
      <c r="BO28" s="216"/>
      <c r="BP28" s="218"/>
    </row>
    <row r="29" spans="1:68" ht="17.25" customHeight="1">
      <c r="A29" s="296">
        <v>-70</v>
      </c>
      <c r="B29" s="297">
        <f t="shared" si="0"/>
        <v>-70</v>
      </c>
      <c r="C29" s="298">
        <f t="shared" si="0"/>
        <v>-70</v>
      </c>
      <c r="D29" s="241"/>
      <c r="E29" s="46"/>
      <c r="F29" s="47"/>
      <c r="G29" s="48"/>
      <c r="H29" s="46"/>
      <c r="I29" s="47"/>
      <c r="J29" s="48"/>
      <c r="K29" s="46"/>
      <c r="L29" s="47"/>
      <c r="M29" s="48"/>
      <c r="N29" s="46"/>
      <c r="O29" s="47"/>
      <c r="P29" s="48"/>
      <c r="Q29" s="46"/>
      <c r="R29" s="47"/>
      <c r="S29" s="94"/>
      <c r="T29" s="92" t="str">
        <f>IF(BM29=0,"M",IF(D29="p1",AK29,IF(D29="p2",AL29,IF(D29="A",0,((E29*F29)*G29/0.6)+((H29*I29)*J29/0.6)+((K29*L29)*M29/0.6)+((N29*O29)*P29/0.6)+((Q29*R29)*S29/0.6)))))</f>
        <v>M</v>
      </c>
      <c r="U29" s="264" t="str">
        <f>IF(T29=Calculator!T29,"VALID","ERROR")</f>
        <v>VALID</v>
      </c>
      <c r="V29" s="127"/>
      <c r="W29" s="305">
        <f t="shared" si="1"/>
        <v>0</v>
      </c>
      <c r="X29" s="209"/>
      <c r="Y29" s="209"/>
      <c r="Z29" s="209"/>
      <c r="AA29" s="209"/>
      <c r="AB29" s="209"/>
      <c r="AC29" s="262"/>
      <c r="AD29" s="221"/>
      <c r="AE29" s="221"/>
      <c r="AF29" s="221"/>
      <c r="AG29" s="221"/>
      <c r="AH29" s="221"/>
      <c r="AK29" s="212" t="b">
        <f t="shared" si="2"/>
        <v>0</v>
      </c>
      <c r="AL29" s="212" t="b">
        <f t="shared" si="3"/>
        <v>0</v>
      </c>
      <c r="AM29" s="212" t="str">
        <f>IF(D29="p1",AP29,"no")</f>
        <v>no</v>
      </c>
      <c r="AN29" s="212" t="str">
        <f>IF(D29="p2",AP29,"no")</f>
        <v>no</v>
      </c>
      <c r="AO29" s="213"/>
      <c r="AP29" s="212" t="e">
        <f>WEEKDAY(C29)</f>
        <v>#NUM!</v>
      </c>
      <c r="AQ29" s="292" t="str">
        <f t="shared" si="6"/>
        <v>M</v>
      </c>
      <c r="AR29" s="292" t="str">
        <f t="shared" si="6"/>
        <v>M</v>
      </c>
      <c r="AS29" s="292" t="str">
        <f t="shared" si="6"/>
        <v>M</v>
      </c>
      <c r="AT29" s="292" t="str">
        <f t="shared" si="6"/>
        <v>M</v>
      </c>
      <c r="AU29" s="292" t="str">
        <f t="shared" si="6"/>
        <v>M</v>
      </c>
      <c r="AV29" s="292" t="str">
        <f t="shared" si="6"/>
        <v>M</v>
      </c>
      <c r="AW29" s="292" t="str">
        <f t="shared" si="6"/>
        <v>M</v>
      </c>
      <c r="AX29" s="215"/>
      <c r="AY29" s="214">
        <f t="shared" si="7"/>
        <v>0</v>
      </c>
      <c r="AZ29" s="214">
        <f t="shared" si="7"/>
        <v>0</v>
      </c>
      <c r="BA29" s="214">
        <f t="shared" si="7"/>
        <v>0</v>
      </c>
      <c r="BB29" s="214">
        <f t="shared" si="7"/>
        <v>0</v>
      </c>
      <c r="BC29" s="214">
        <f t="shared" si="7"/>
        <v>0</v>
      </c>
      <c r="BD29" s="214">
        <f t="shared" si="7"/>
        <v>0</v>
      </c>
      <c r="BE29" s="214">
        <f t="shared" si="7"/>
        <v>0</v>
      </c>
      <c r="BH29" s="217" t="str">
        <f>IF(OR(E29="",F29="",G29=""),"M",1)</f>
        <v>M</v>
      </c>
      <c r="BI29" s="217" t="str">
        <f>IF(OR(H29="",I29="",J29=""),"M",1)</f>
        <v>M</v>
      </c>
      <c r="BJ29" s="217" t="str">
        <f>IF(OR(K29="",L29="",M29=""),"M",1)</f>
        <v>M</v>
      </c>
      <c r="BK29" s="217" t="str">
        <f>IF(OR(N29="",O29="",P29=""),"M",1)</f>
        <v>M</v>
      </c>
      <c r="BL29" s="217" t="str">
        <f>IF(OR(Q29="",R29="",S29=""),"M",1)</f>
        <v>M</v>
      </c>
      <c r="BM29" s="217">
        <f>IF(AND(BH29="M",BI29="M",BJ29="M",BK29="M",BL29="M",D29=""),0,1)</f>
        <v>0</v>
      </c>
      <c r="BN29" s="216"/>
      <c r="BO29" s="216"/>
      <c r="BP29" s="218"/>
    </row>
    <row r="30" spans="1:68" ht="17.25" customHeight="1">
      <c r="A30" s="296">
        <v>-69</v>
      </c>
      <c r="B30" s="297">
        <f t="shared" si="0"/>
        <v>-69</v>
      </c>
      <c r="C30" s="298">
        <f t="shared" si="0"/>
        <v>-69</v>
      </c>
      <c r="D30" s="242"/>
      <c r="E30" s="46"/>
      <c r="F30" s="47"/>
      <c r="G30" s="48"/>
      <c r="H30" s="46"/>
      <c r="I30" s="47"/>
      <c r="J30" s="48"/>
      <c r="K30" s="46"/>
      <c r="L30" s="47"/>
      <c r="M30" s="48"/>
      <c r="N30" s="46"/>
      <c r="O30" s="47"/>
      <c r="P30" s="48"/>
      <c r="Q30" s="46"/>
      <c r="R30" s="47"/>
      <c r="S30" s="94"/>
      <c r="T30" s="92" t="str">
        <f>IF(BM30=0,"M",IF(D30="p1",AK30,IF(D30="p2",AL30,IF(D30="A",0,((E30*F30)*G30/0.6)+((H30*I30)*J30/0.6)+((K30*L30)*M30/0.6)+((N30*O30)*P30/0.6)+((Q30*R30)*S30/0.6)))))</f>
        <v>M</v>
      </c>
      <c r="U30" s="264" t="str">
        <f>IF(T30=Calculator!T30,"VALID","ERROR")</f>
        <v>VALID</v>
      </c>
      <c r="V30" s="127"/>
      <c r="W30" s="305">
        <f t="shared" si="1"/>
        <v>0</v>
      </c>
      <c r="X30" s="209"/>
      <c r="Y30" s="209"/>
      <c r="Z30" s="209"/>
      <c r="AA30" s="209"/>
      <c r="AB30" s="257"/>
      <c r="AC30" s="263"/>
      <c r="AD30" s="234"/>
      <c r="AE30" s="234"/>
      <c r="AF30" s="234"/>
      <c r="AG30" s="234"/>
      <c r="AH30" s="234"/>
      <c r="AK30" s="212" t="b">
        <f t="shared" si="2"/>
        <v>0</v>
      </c>
      <c r="AL30" s="212" t="b">
        <f t="shared" si="3"/>
        <v>0</v>
      </c>
      <c r="AM30" s="212" t="str">
        <f>IF(D30="p1",AP30,"no")</f>
        <v>no</v>
      </c>
      <c r="AN30" s="212" t="str">
        <f>IF(D30="p2",AP30,"no")</f>
        <v>no</v>
      </c>
      <c r="AO30" s="213"/>
      <c r="AP30" s="212" t="e">
        <f>WEEKDAY(C30)</f>
        <v>#NUM!</v>
      </c>
      <c r="AQ30" s="292" t="str">
        <f t="shared" si="6"/>
        <v>M</v>
      </c>
      <c r="AR30" s="292" t="str">
        <f t="shared" si="6"/>
        <v>M</v>
      </c>
      <c r="AS30" s="292" t="str">
        <f t="shared" si="6"/>
        <v>M</v>
      </c>
      <c r="AT30" s="292" t="str">
        <f t="shared" si="6"/>
        <v>M</v>
      </c>
      <c r="AU30" s="292" t="str">
        <f t="shared" si="6"/>
        <v>M</v>
      </c>
      <c r="AV30" s="292" t="str">
        <f t="shared" si="6"/>
        <v>M</v>
      </c>
      <c r="AW30" s="292" t="str">
        <f t="shared" si="6"/>
        <v>M</v>
      </c>
      <c r="AX30" s="215"/>
      <c r="AY30" s="214">
        <f t="shared" si="7"/>
        <v>0</v>
      </c>
      <c r="AZ30" s="214">
        <f t="shared" si="7"/>
        <v>0</v>
      </c>
      <c r="BA30" s="214">
        <f t="shared" si="7"/>
        <v>0</v>
      </c>
      <c r="BB30" s="214">
        <f t="shared" si="7"/>
        <v>0</v>
      </c>
      <c r="BC30" s="214">
        <f t="shared" si="7"/>
        <v>0</v>
      </c>
      <c r="BD30" s="214">
        <f t="shared" si="7"/>
        <v>0</v>
      </c>
      <c r="BE30" s="214">
        <f t="shared" si="7"/>
        <v>0</v>
      </c>
      <c r="BH30" s="217" t="str">
        <f>IF(OR(E30="",F30="",G30=""),"M",1)</f>
        <v>M</v>
      </c>
      <c r="BI30" s="217" t="str">
        <f>IF(OR(H30="",I30="",J30=""),"M",1)</f>
        <v>M</v>
      </c>
      <c r="BJ30" s="217" t="str">
        <f>IF(OR(K30="",L30="",M30=""),"M",1)</f>
        <v>M</v>
      </c>
      <c r="BK30" s="217" t="str">
        <f>IF(OR(N30="",O30="",P30=""),"M",1)</f>
        <v>M</v>
      </c>
      <c r="BL30" s="217" t="str">
        <f>IF(OR(Q30="",R30="",S30=""),"M",1)</f>
        <v>M</v>
      </c>
      <c r="BM30" s="217">
        <f>IF(AND(BH30="M",BI30="M",BJ30="M",BK30="M",BL30="M",D30=""),0,1)</f>
        <v>0</v>
      </c>
      <c r="BN30" s="216"/>
      <c r="BO30" s="216"/>
      <c r="BP30" s="218"/>
    </row>
    <row r="31" spans="1:68" ht="17.25" customHeight="1">
      <c r="A31" s="296">
        <v>-68</v>
      </c>
      <c r="B31" s="297">
        <f t="shared" si="0"/>
        <v>-68</v>
      </c>
      <c r="C31" s="298">
        <f t="shared" si="0"/>
        <v>-68</v>
      </c>
      <c r="D31" s="241"/>
      <c r="E31" s="46"/>
      <c r="F31" s="47"/>
      <c r="G31" s="48"/>
      <c r="H31" s="46"/>
      <c r="I31" s="47"/>
      <c r="J31" s="48"/>
      <c r="K31" s="46"/>
      <c r="L31" s="47"/>
      <c r="M31" s="48"/>
      <c r="N31" s="46"/>
      <c r="O31" s="47"/>
      <c r="P31" s="48"/>
      <c r="Q31" s="46"/>
      <c r="R31" s="47"/>
      <c r="S31" s="94"/>
      <c r="T31" s="92" t="str">
        <f>IF(BM31=0,"M",IF(D31="p1",AK31,IF(D31="p2",AL31,IF(D31="A",0,((E31*F31)*G31/0.6)+((H31*I31)*J31/0.6)+((K31*L31)*M31/0.6)+((N31*O31)*P31/0.6)+((Q31*R31)*S31/0.6)))))</f>
        <v>M</v>
      </c>
      <c r="U31" s="264" t="str">
        <f>IF(T31=Calculator!T31,"VALID","ERROR")</f>
        <v>VALID</v>
      </c>
      <c r="V31" s="127"/>
      <c r="W31" s="305">
        <f t="shared" si="1"/>
        <v>0</v>
      </c>
      <c r="X31" s="209"/>
      <c r="Y31" s="209"/>
      <c r="Z31" s="209"/>
      <c r="AA31" s="209"/>
      <c r="AB31" s="257"/>
      <c r="AC31" s="261"/>
      <c r="AD31" s="234"/>
      <c r="AE31" s="234"/>
      <c r="AF31" s="234"/>
      <c r="AG31" s="234"/>
      <c r="AH31" s="234"/>
      <c r="AK31" s="212" t="b">
        <f t="shared" si="2"/>
        <v>0</v>
      </c>
      <c r="AL31" s="212" t="b">
        <f t="shared" si="3"/>
        <v>0</v>
      </c>
      <c r="AM31" s="212" t="str">
        <f>IF(D31="p1",AP31,"no")</f>
        <v>no</v>
      </c>
      <c r="AN31" s="212" t="str">
        <f>IF(D31="p2",AP31,"no")</f>
        <v>no</v>
      </c>
      <c r="AO31" s="213"/>
      <c r="AP31" s="212" t="e">
        <f>WEEKDAY(C31)</f>
        <v>#NUM!</v>
      </c>
      <c r="AQ31" s="292" t="str">
        <f t="shared" si="6"/>
        <v>M</v>
      </c>
      <c r="AR31" s="292" t="str">
        <f t="shared" si="6"/>
        <v>M</v>
      </c>
      <c r="AS31" s="292" t="str">
        <f t="shared" si="6"/>
        <v>M</v>
      </c>
      <c r="AT31" s="292" t="str">
        <f t="shared" si="6"/>
        <v>M</v>
      </c>
      <c r="AU31" s="292" t="str">
        <f t="shared" si="6"/>
        <v>M</v>
      </c>
      <c r="AV31" s="292" t="str">
        <f t="shared" si="6"/>
        <v>M</v>
      </c>
      <c r="AW31" s="292" t="str">
        <f t="shared" si="6"/>
        <v>M</v>
      </c>
      <c r="AX31" s="215"/>
      <c r="AY31" s="214">
        <f t="shared" si="7"/>
        <v>0</v>
      </c>
      <c r="AZ31" s="214">
        <f t="shared" si="7"/>
        <v>0</v>
      </c>
      <c r="BA31" s="214">
        <f t="shared" si="7"/>
        <v>0</v>
      </c>
      <c r="BB31" s="214">
        <f t="shared" si="7"/>
        <v>0</v>
      </c>
      <c r="BC31" s="214">
        <f t="shared" si="7"/>
        <v>0</v>
      </c>
      <c r="BD31" s="214">
        <f t="shared" si="7"/>
        <v>0</v>
      </c>
      <c r="BE31" s="214">
        <f t="shared" si="7"/>
        <v>0</v>
      </c>
      <c r="BH31" s="217" t="str">
        <f>IF(OR(E31="",F31="",G31=""),"M",1)</f>
        <v>M</v>
      </c>
      <c r="BI31" s="217" t="str">
        <f>IF(OR(H31="",I31="",J31=""),"M",1)</f>
        <v>M</v>
      </c>
      <c r="BJ31" s="217" t="str">
        <f>IF(OR(K31="",L31="",M31=""),"M",1)</f>
        <v>M</v>
      </c>
      <c r="BK31" s="217" t="str">
        <f>IF(OR(N31="",O31="",P31=""),"M",1)</f>
        <v>M</v>
      </c>
      <c r="BL31" s="217" t="str">
        <f>IF(OR(Q31="",R31="",S31=""),"M",1)</f>
        <v>M</v>
      </c>
      <c r="BM31" s="217">
        <f>IF(AND(BH31="M",BI31="M",BJ31="M",BK31="M",BL31="M",D31=""),0,1)</f>
        <v>0</v>
      </c>
      <c r="BN31" s="216"/>
      <c r="BO31" s="216"/>
      <c r="BP31" s="218"/>
    </row>
    <row r="32" spans="1:68" ht="17.25" customHeight="1">
      <c r="A32" s="296">
        <v>-67</v>
      </c>
      <c r="B32" s="297">
        <f t="shared" si="0"/>
        <v>-67</v>
      </c>
      <c r="C32" s="298">
        <f t="shared" si="0"/>
        <v>-67</v>
      </c>
      <c r="D32" s="242"/>
      <c r="E32" s="46"/>
      <c r="F32" s="47"/>
      <c r="G32" s="48"/>
      <c r="H32" s="46"/>
      <c r="I32" s="47"/>
      <c r="J32" s="48"/>
      <c r="K32" s="46"/>
      <c r="L32" s="47"/>
      <c r="M32" s="48"/>
      <c r="N32" s="46"/>
      <c r="O32" s="47"/>
      <c r="P32" s="48"/>
      <c r="Q32" s="46"/>
      <c r="R32" s="47"/>
      <c r="S32" s="94"/>
      <c r="T32" s="92" t="str">
        <f>IF(BM32=0,"M",IF(D32="p1",AK32,IF(D32="p2",AL32,IF(D32="A",0,((E32*F32)*G32/0.6)+((H32*I32)*J32/0.6)+((K32*L32)*M32/0.6)+((N32*O32)*P32/0.6)+((Q32*R32)*S32/0.6)))))</f>
        <v>M</v>
      </c>
      <c r="U32" s="264" t="str">
        <f>IF(T32=Calculator!T32,"VALID","ERROR")</f>
        <v>VALID</v>
      </c>
      <c r="V32" s="127"/>
      <c r="W32" s="305">
        <f t="shared" si="1"/>
        <v>0</v>
      </c>
      <c r="X32" s="209"/>
      <c r="Y32" s="209"/>
      <c r="Z32" s="209"/>
      <c r="AA32" s="209"/>
      <c r="AB32" s="257"/>
      <c r="AC32" s="261"/>
      <c r="AD32" s="234"/>
      <c r="AE32" s="234"/>
      <c r="AF32" s="234"/>
      <c r="AG32" s="234"/>
      <c r="AH32" s="234"/>
      <c r="AK32" s="212" t="b">
        <f t="shared" si="2"/>
        <v>0</v>
      </c>
      <c r="AL32" s="212" t="b">
        <f t="shared" si="3"/>
        <v>0</v>
      </c>
      <c r="AM32" s="212" t="str">
        <f>IF(D32="p1",AP32,"no")</f>
        <v>no</v>
      </c>
      <c r="AN32" s="212" t="str">
        <f>IF(D32="p2",AP32,"no")</f>
        <v>no</v>
      </c>
      <c r="AO32" s="213"/>
      <c r="AP32" s="212" t="e">
        <f>WEEKDAY(C32)</f>
        <v>#NUM!</v>
      </c>
      <c r="AQ32" s="292" t="str">
        <f t="shared" si="6"/>
        <v>M</v>
      </c>
      <c r="AR32" s="292" t="str">
        <f t="shared" si="6"/>
        <v>M</v>
      </c>
      <c r="AS32" s="292" t="str">
        <f t="shared" si="6"/>
        <v>M</v>
      </c>
      <c r="AT32" s="292" t="str">
        <f t="shared" si="6"/>
        <v>M</v>
      </c>
      <c r="AU32" s="292" t="str">
        <f t="shared" si="6"/>
        <v>M</v>
      </c>
      <c r="AV32" s="292" t="str">
        <f t="shared" si="6"/>
        <v>M</v>
      </c>
      <c r="AW32" s="292" t="str">
        <f t="shared" si="6"/>
        <v>M</v>
      </c>
      <c r="AX32" s="215"/>
      <c r="AY32" s="214">
        <f t="shared" si="7"/>
        <v>0</v>
      </c>
      <c r="AZ32" s="214">
        <f t="shared" si="7"/>
        <v>0</v>
      </c>
      <c r="BA32" s="214">
        <f t="shared" si="7"/>
        <v>0</v>
      </c>
      <c r="BB32" s="214">
        <f t="shared" si="7"/>
        <v>0</v>
      </c>
      <c r="BC32" s="214">
        <f t="shared" si="7"/>
        <v>0</v>
      </c>
      <c r="BD32" s="214">
        <f t="shared" si="7"/>
        <v>0</v>
      </c>
      <c r="BE32" s="214">
        <f t="shared" si="7"/>
        <v>0</v>
      </c>
      <c r="BH32" s="217" t="str">
        <f>IF(OR(E32="",F32="",G32=""),"M",1)</f>
        <v>M</v>
      </c>
      <c r="BI32" s="217" t="str">
        <f>IF(OR(H32="",I32="",J32=""),"M",1)</f>
        <v>M</v>
      </c>
      <c r="BJ32" s="217" t="str">
        <f>IF(OR(K32="",L32="",M32=""),"M",1)</f>
        <v>M</v>
      </c>
      <c r="BK32" s="217" t="str">
        <f>IF(OR(N32="",O32="",P32=""),"M",1)</f>
        <v>M</v>
      </c>
      <c r="BL32" s="217" t="str">
        <f>IF(OR(Q32="",R32="",S32=""),"M",1)</f>
        <v>M</v>
      </c>
      <c r="BM32" s="217">
        <f>IF(AND(BH32="M",BI32="M",BJ32="M",BK32="M",BL32="M",D32=""),0,1)</f>
        <v>0</v>
      </c>
      <c r="BN32" s="216"/>
      <c r="BO32" s="216"/>
      <c r="BP32" s="218"/>
    </row>
    <row r="33" spans="1:68" ht="17.25" customHeight="1">
      <c r="A33" s="296">
        <v>-66</v>
      </c>
      <c r="B33" s="297">
        <f t="shared" si="0"/>
        <v>-66</v>
      </c>
      <c r="C33" s="298">
        <f t="shared" si="0"/>
        <v>-66</v>
      </c>
      <c r="D33" s="241"/>
      <c r="E33" s="46"/>
      <c r="F33" s="47"/>
      <c r="G33" s="48"/>
      <c r="H33" s="46"/>
      <c r="I33" s="47"/>
      <c r="J33" s="48"/>
      <c r="K33" s="46"/>
      <c r="L33" s="47"/>
      <c r="M33" s="48"/>
      <c r="N33" s="46"/>
      <c r="O33" s="47"/>
      <c r="P33" s="48"/>
      <c r="Q33" s="46"/>
      <c r="R33" s="47"/>
      <c r="S33" s="94"/>
      <c r="T33" s="92" t="str">
        <f>IF(BM33=0,"M",IF(D33="p1",AK33,IF(D33="p2",AL33,IF(D33="A",0,((E33*F33)*G33/0.6)+((H33*I33)*J33/0.6)+((K33*L33)*M33/0.6)+((N33*O33)*P33/0.6)+((Q33*R33)*S33/0.6)))))</f>
        <v>M</v>
      </c>
      <c r="U33" s="264" t="str">
        <f>IF(T33=Calculator!T33,"VALID","ERROR")</f>
        <v>VALID</v>
      </c>
      <c r="V33" s="127"/>
      <c r="W33" s="305">
        <f t="shared" si="1"/>
        <v>0</v>
      </c>
      <c r="X33" s="209"/>
      <c r="Y33" s="209"/>
      <c r="Z33" s="209"/>
      <c r="AA33" s="209"/>
      <c r="AB33" s="257"/>
      <c r="AC33" s="261"/>
      <c r="AD33" s="234"/>
      <c r="AE33" s="234"/>
      <c r="AF33" s="234"/>
      <c r="AG33" s="234"/>
      <c r="AH33" s="234"/>
      <c r="AK33" s="212" t="b">
        <f t="shared" si="2"/>
        <v>0</v>
      </c>
      <c r="AL33" s="212" t="b">
        <f t="shared" si="3"/>
        <v>0</v>
      </c>
      <c r="AM33" s="212" t="str">
        <f>IF(D33="p1",AP33,"no")</f>
        <v>no</v>
      </c>
      <c r="AN33" s="212" t="str">
        <f>IF(D33="p2",AP33,"no")</f>
        <v>no</v>
      </c>
      <c r="AO33" s="213"/>
      <c r="AP33" s="212" t="e">
        <f>WEEKDAY(C33)</f>
        <v>#NUM!</v>
      </c>
      <c r="AQ33" s="292" t="str">
        <f t="shared" si="6"/>
        <v>M</v>
      </c>
      <c r="AR33" s="292" t="str">
        <f t="shared" si="6"/>
        <v>M</v>
      </c>
      <c r="AS33" s="292" t="str">
        <f t="shared" si="6"/>
        <v>M</v>
      </c>
      <c r="AT33" s="292" t="str">
        <f t="shared" si="6"/>
        <v>M</v>
      </c>
      <c r="AU33" s="292" t="str">
        <f t="shared" si="6"/>
        <v>M</v>
      </c>
      <c r="AV33" s="292" t="str">
        <f t="shared" si="6"/>
        <v>M</v>
      </c>
      <c r="AW33" s="292" t="str">
        <f t="shared" si="6"/>
        <v>M</v>
      </c>
      <c r="AX33" s="215"/>
      <c r="AY33" s="214">
        <f t="shared" si="7"/>
        <v>0</v>
      </c>
      <c r="AZ33" s="214">
        <f t="shared" si="7"/>
        <v>0</v>
      </c>
      <c r="BA33" s="214">
        <f t="shared" si="7"/>
        <v>0</v>
      </c>
      <c r="BB33" s="214">
        <f t="shared" si="7"/>
        <v>0</v>
      </c>
      <c r="BC33" s="214">
        <f t="shared" si="7"/>
        <v>0</v>
      </c>
      <c r="BD33" s="214">
        <f t="shared" si="7"/>
        <v>0</v>
      </c>
      <c r="BE33" s="214">
        <f t="shared" si="7"/>
        <v>0</v>
      </c>
      <c r="BH33" s="217" t="str">
        <f>IF(OR(E33="",F33="",G33=""),"M",1)</f>
        <v>M</v>
      </c>
      <c r="BI33" s="217" t="str">
        <f>IF(OR(H33="",I33="",J33=""),"M",1)</f>
        <v>M</v>
      </c>
      <c r="BJ33" s="217" t="str">
        <f>IF(OR(K33="",L33="",M33=""),"M",1)</f>
        <v>M</v>
      </c>
      <c r="BK33" s="217" t="str">
        <f>IF(OR(N33="",O33="",P33=""),"M",1)</f>
        <v>M</v>
      </c>
      <c r="BL33" s="217" t="str">
        <f>IF(OR(Q33="",R33="",S33=""),"M",1)</f>
        <v>M</v>
      </c>
      <c r="BM33" s="217">
        <f>IF(AND(BH33="M",BI33="M",BJ33="M",BK33="M",BL33="M",D33=""),0,1)</f>
        <v>0</v>
      </c>
      <c r="BN33" s="216"/>
      <c r="BO33" s="216"/>
      <c r="BP33" s="218"/>
    </row>
    <row r="34" spans="1:68" ht="17.25" customHeight="1">
      <c r="A34" s="296">
        <v>-65</v>
      </c>
      <c r="B34" s="297">
        <f t="shared" si="0"/>
        <v>-65</v>
      </c>
      <c r="C34" s="298">
        <f t="shared" si="0"/>
        <v>-65</v>
      </c>
      <c r="D34" s="242"/>
      <c r="E34" s="46"/>
      <c r="F34" s="47"/>
      <c r="G34" s="48"/>
      <c r="H34" s="46"/>
      <c r="I34" s="47"/>
      <c r="J34" s="48"/>
      <c r="K34" s="46"/>
      <c r="L34" s="47"/>
      <c r="M34" s="48"/>
      <c r="N34" s="46"/>
      <c r="O34" s="47"/>
      <c r="P34" s="48"/>
      <c r="Q34" s="46"/>
      <c r="R34" s="47"/>
      <c r="S34" s="94"/>
      <c r="T34" s="92" t="str">
        <f>IF(BM34=0,"M",IF(D34="p1",AK34,IF(D34="p2",AL34,IF(D34="A",0,((E34*F34)*G34/0.6)+((H34*I34)*J34/0.6)+((K34*L34)*M34/0.6)+((N34*O34)*P34/0.6)+((Q34*R34)*S34/0.6)))))</f>
        <v>M</v>
      </c>
      <c r="U34" s="264" t="str">
        <f>IF(T34=Calculator!T34,"VALID","ERROR")</f>
        <v>VALID</v>
      </c>
      <c r="V34" s="127"/>
      <c r="W34" s="305">
        <f t="shared" si="1"/>
        <v>0</v>
      </c>
      <c r="X34" s="209"/>
      <c r="Y34" s="209"/>
      <c r="Z34" s="209"/>
      <c r="AA34" s="209"/>
      <c r="AB34" s="257"/>
      <c r="AC34" s="261"/>
      <c r="AD34" s="234"/>
      <c r="AE34" s="234"/>
      <c r="AF34" s="234"/>
      <c r="AG34" s="234"/>
      <c r="AH34" s="234"/>
      <c r="AK34" s="212" t="b">
        <f t="shared" si="2"/>
        <v>0</v>
      </c>
      <c r="AL34" s="212" t="b">
        <f t="shared" si="3"/>
        <v>0</v>
      </c>
      <c r="AM34" s="212" t="str">
        <f>IF(D34="p1",AP34,"no")</f>
        <v>no</v>
      </c>
      <c r="AN34" s="212" t="str">
        <f>IF(D34="p2",AP34,"no")</f>
        <v>no</v>
      </c>
      <c r="AO34" s="213"/>
      <c r="AP34" s="212" t="e">
        <f>WEEKDAY(C34)</f>
        <v>#NUM!</v>
      </c>
      <c r="AQ34" s="292" t="str">
        <f t="shared" si="6"/>
        <v>M</v>
      </c>
      <c r="AR34" s="292" t="str">
        <f t="shared" si="6"/>
        <v>M</v>
      </c>
      <c r="AS34" s="292" t="str">
        <f t="shared" si="6"/>
        <v>M</v>
      </c>
      <c r="AT34" s="292" t="str">
        <f t="shared" si="6"/>
        <v>M</v>
      </c>
      <c r="AU34" s="292" t="str">
        <f t="shared" si="6"/>
        <v>M</v>
      </c>
      <c r="AV34" s="292" t="str">
        <f t="shared" si="6"/>
        <v>M</v>
      </c>
      <c r="AW34" s="292" t="str">
        <f t="shared" si="6"/>
        <v>M</v>
      </c>
      <c r="AX34" s="215"/>
      <c r="AY34" s="214">
        <f t="shared" si="7"/>
        <v>0</v>
      </c>
      <c r="AZ34" s="214">
        <f t="shared" si="7"/>
        <v>0</v>
      </c>
      <c r="BA34" s="214">
        <f t="shared" si="7"/>
        <v>0</v>
      </c>
      <c r="BB34" s="214">
        <f t="shared" si="7"/>
        <v>0</v>
      </c>
      <c r="BC34" s="214">
        <f t="shared" si="7"/>
        <v>0</v>
      </c>
      <c r="BD34" s="214">
        <f t="shared" si="7"/>
        <v>0</v>
      </c>
      <c r="BE34" s="214">
        <f t="shared" si="7"/>
        <v>0</v>
      </c>
      <c r="BH34" s="217" t="str">
        <f>IF(OR(E34="",F34="",G34=""),"M",1)</f>
        <v>M</v>
      </c>
      <c r="BI34" s="217" t="str">
        <f>IF(OR(H34="",I34="",J34=""),"M",1)</f>
        <v>M</v>
      </c>
      <c r="BJ34" s="217" t="str">
        <f>IF(OR(K34="",L34="",M34=""),"M",1)</f>
        <v>M</v>
      </c>
      <c r="BK34" s="217" t="str">
        <f>IF(OR(N34="",O34="",P34=""),"M",1)</f>
        <v>M</v>
      </c>
      <c r="BL34" s="217" t="str">
        <f>IF(OR(Q34="",R34="",S34=""),"M",1)</f>
        <v>M</v>
      </c>
      <c r="BM34" s="217">
        <f>IF(AND(BH34="M",BI34="M",BJ34="M",BK34="M",BL34="M",D34=""),0,1)</f>
        <v>0</v>
      </c>
      <c r="BN34" s="216"/>
      <c r="BO34" s="216"/>
      <c r="BP34" s="218"/>
    </row>
    <row r="35" spans="1:68" ht="17.25" customHeight="1">
      <c r="A35" s="296">
        <v>-64</v>
      </c>
      <c r="B35" s="297">
        <f t="shared" si="0"/>
        <v>-64</v>
      </c>
      <c r="C35" s="298">
        <f t="shared" si="0"/>
        <v>-64</v>
      </c>
      <c r="D35" s="241"/>
      <c r="E35" s="46"/>
      <c r="F35" s="47"/>
      <c r="G35" s="48"/>
      <c r="H35" s="46"/>
      <c r="I35" s="47"/>
      <c r="J35" s="48"/>
      <c r="K35" s="46"/>
      <c r="L35" s="47"/>
      <c r="M35" s="48"/>
      <c r="N35" s="46"/>
      <c r="O35" s="47"/>
      <c r="P35" s="48"/>
      <c r="Q35" s="46"/>
      <c r="R35" s="47"/>
      <c r="S35" s="94"/>
      <c r="T35" s="92" t="str">
        <f>IF(BM35=0,"M",IF(D35="p1",AK35,IF(D35="p2",AL35,IF(D35="A",0,((E35*F35)*G35/0.6)+((H35*I35)*J35/0.6)+((K35*L35)*M35/0.6)+((N35*O35)*P35/0.6)+((Q35*R35)*S35/0.6)))))</f>
        <v>M</v>
      </c>
      <c r="U35" s="264" t="str">
        <f>IF(T35=Calculator!T35,"VALID","ERROR")</f>
        <v>VALID</v>
      </c>
      <c r="V35" s="127"/>
      <c r="W35" s="305">
        <f t="shared" si="1"/>
        <v>0</v>
      </c>
      <c r="X35" s="209"/>
      <c r="Y35" s="209"/>
      <c r="Z35" s="209"/>
      <c r="AA35" s="209"/>
      <c r="AB35" s="257"/>
      <c r="AC35" s="261"/>
      <c r="AD35" s="234"/>
      <c r="AE35" s="234"/>
      <c r="AF35" s="234"/>
      <c r="AG35" s="234"/>
      <c r="AH35" s="234"/>
      <c r="AK35" s="212" t="b">
        <f t="shared" si="2"/>
        <v>0</v>
      </c>
      <c r="AL35" s="212" t="b">
        <f t="shared" si="3"/>
        <v>0</v>
      </c>
      <c r="AM35" s="212" t="str">
        <f>IF(D35="p1",AP35,"no")</f>
        <v>no</v>
      </c>
      <c r="AN35" s="212" t="str">
        <f>IF(D35="p2",AP35,"no")</f>
        <v>no</v>
      </c>
      <c r="AO35" s="213"/>
      <c r="AP35" s="212" t="e">
        <f>WEEKDAY(C35)</f>
        <v>#NUM!</v>
      </c>
      <c r="AQ35" s="292" t="str">
        <f t="shared" si="6"/>
        <v>M</v>
      </c>
      <c r="AR35" s="292" t="str">
        <f t="shared" si="6"/>
        <v>M</v>
      </c>
      <c r="AS35" s="292" t="str">
        <f t="shared" si="6"/>
        <v>M</v>
      </c>
      <c r="AT35" s="292" t="str">
        <f t="shared" si="6"/>
        <v>M</v>
      </c>
      <c r="AU35" s="292" t="str">
        <f t="shared" si="6"/>
        <v>M</v>
      </c>
      <c r="AV35" s="292" t="str">
        <f t="shared" si="6"/>
        <v>M</v>
      </c>
      <c r="AW35" s="292" t="str">
        <f t="shared" si="6"/>
        <v>M</v>
      </c>
      <c r="AX35" s="215"/>
      <c r="AY35" s="214">
        <f t="shared" si="7"/>
        <v>0</v>
      </c>
      <c r="AZ35" s="214">
        <f t="shared" si="7"/>
        <v>0</v>
      </c>
      <c r="BA35" s="214">
        <f t="shared" si="7"/>
        <v>0</v>
      </c>
      <c r="BB35" s="214">
        <f t="shared" si="7"/>
        <v>0</v>
      </c>
      <c r="BC35" s="214">
        <f t="shared" si="7"/>
        <v>0</v>
      </c>
      <c r="BD35" s="214">
        <f t="shared" si="7"/>
        <v>0</v>
      </c>
      <c r="BE35" s="214">
        <f t="shared" si="7"/>
        <v>0</v>
      </c>
      <c r="BH35" s="217" t="str">
        <f>IF(OR(E35="",F35="",G35=""),"M",1)</f>
        <v>M</v>
      </c>
      <c r="BI35" s="217" t="str">
        <f>IF(OR(H35="",I35="",J35=""),"M",1)</f>
        <v>M</v>
      </c>
      <c r="BJ35" s="217" t="str">
        <f>IF(OR(K35="",L35="",M35=""),"M",1)</f>
        <v>M</v>
      </c>
      <c r="BK35" s="217" t="str">
        <f>IF(OR(N35="",O35="",P35=""),"M",1)</f>
        <v>M</v>
      </c>
      <c r="BL35" s="217" t="str">
        <f>IF(OR(Q35="",R35="",S35=""),"M",1)</f>
        <v>M</v>
      </c>
      <c r="BM35" s="217">
        <f>IF(AND(BH35="M",BI35="M",BJ35="M",BK35="M",BL35="M",D35=""),0,1)</f>
        <v>0</v>
      </c>
      <c r="BN35" s="216"/>
      <c r="BO35" s="216"/>
      <c r="BP35" s="218"/>
    </row>
    <row r="36" spans="1:68" ht="17.25" customHeight="1">
      <c r="A36" s="296">
        <v>-63</v>
      </c>
      <c r="B36" s="297">
        <f t="shared" si="0"/>
        <v>-63</v>
      </c>
      <c r="C36" s="298">
        <f t="shared" si="0"/>
        <v>-63</v>
      </c>
      <c r="D36" s="242"/>
      <c r="E36" s="46"/>
      <c r="F36" s="47"/>
      <c r="G36" s="48"/>
      <c r="H36" s="46"/>
      <c r="I36" s="47"/>
      <c r="J36" s="48"/>
      <c r="K36" s="46"/>
      <c r="L36" s="47"/>
      <c r="M36" s="48"/>
      <c r="N36" s="46"/>
      <c r="O36" s="47"/>
      <c r="P36" s="48"/>
      <c r="Q36" s="46"/>
      <c r="R36" s="47"/>
      <c r="S36" s="94"/>
      <c r="T36" s="92" t="str">
        <f>IF(BM36=0,"M",IF(D36="p1",AK36,IF(D36="p2",AL36,IF(D36="A",0,((E36*F36)*G36/0.6)+((H36*I36)*J36/0.6)+((K36*L36)*M36/0.6)+((N36*O36)*P36/0.6)+((Q36*R36)*S36/0.6)))))</f>
        <v>M</v>
      </c>
      <c r="U36" s="264" t="str">
        <f>IF(T36=Calculator!T36,"VALID","ERROR")</f>
        <v>VALID</v>
      </c>
      <c r="V36" s="127"/>
      <c r="W36" s="305">
        <f t="shared" si="1"/>
        <v>0</v>
      </c>
      <c r="X36" s="209"/>
      <c r="Y36" s="209"/>
      <c r="Z36" s="209"/>
      <c r="AA36" s="209"/>
      <c r="AB36" s="257"/>
      <c r="AC36" s="261"/>
      <c r="AD36" s="234"/>
      <c r="AE36" s="234"/>
      <c r="AF36" s="234"/>
      <c r="AG36" s="234"/>
      <c r="AH36" s="234"/>
      <c r="AK36" s="212" t="b">
        <f t="shared" si="2"/>
        <v>0</v>
      </c>
      <c r="AL36" s="212" t="b">
        <f t="shared" si="3"/>
        <v>0</v>
      </c>
      <c r="AM36" s="212" t="str">
        <f>IF(D36="p1",AP36,"no")</f>
        <v>no</v>
      </c>
      <c r="AN36" s="212" t="str">
        <f>IF(D36="p2",AP36,"no")</f>
        <v>no</v>
      </c>
      <c r="AO36" s="213"/>
      <c r="AP36" s="212" t="e">
        <f>WEEKDAY(C36)</f>
        <v>#NUM!</v>
      </c>
      <c r="AQ36" s="292" t="str">
        <f t="shared" si="6"/>
        <v>M</v>
      </c>
      <c r="AR36" s="292" t="str">
        <f t="shared" si="6"/>
        <v>M</v>
      </c>
      <c r="AS36" s="292" t="str">
        <f t="shared" si="6"/>
        <v>M</v>
      </c>
      <c r="AT36" s="292" t="str">
        <f t="shared" si="6"/>
        <v>M</v>
      </c>
      <c r="AU36" s="292" t="str">
        <f t="shared" si="6"/>
        <v>M</v>
      </c>
      <c r="AV36" s="292" t="str">
        <f t="shared" si="6"/>
        <v>M</v>
      </c>
      <c r="AW36" s="292" t="str">
        <f t="shared" si="6"/>
        <v>M</v>
      </c>
      <c r="AX36" s="215"/>
      <c r="AY36" s="214">
        <f t="shared" si="7"/>
        <v>0</v>
      </c>
      <c r="AZ36" s="214">
        <f t="shared" si="7"/>
        <v>0</v>
      </c>
      <c r="BA36" s="214">
        <f t="shared" si="7"/>
        <v>0</v>
      </c>
      <c r="BB36" s="214">
        <f t="shared" si="7"/>
        <v>0</v>
      </c>
      <c r="BC36" s="214">
        <f t="shared" si="7"/>
        <v>0</v>
      </c>
      <c r="BD36" s="214">
        <f t="shared" si="7"/>
        <v>0</v>
      </c>
      <c r="BE36" s="214">
        <f t="shared" si="7"/>
        <v>0</v>
      </c>
      <c r="BH36" s="217" t="str">
        <f>IF(OR(E36="",F36="",G36=""),"M",1)</f>
        <v>M</v>
      </c>
      <c r="BI36" s="217" t="str">
        <f>IF(OR(H36="",I36="",J36=""),"M",1)</f>
        <v>M</v>
      </c>
      <c r="BJ36" s="217" t="str">
        <f>IF(OR(K36="",L36="",M36=""),"M",1)</f>
        <v>M</v>
      </c>
      <c r="BK36" s="217" t="str">
        <f>IF(OR(N36="",O36="",P36=""),"M",1)</f>
        <v>M</v>
      </c>
      <c r="BL36" s="217" t="str">
        <f>IF(OR(Q36="",R36="",S36=""),"M",1)</f>
        <v>M</v>
      </c>
      <c r="BM36" s="217">
        <f>IF(AND(BH36="M",BI36="M",BJ36="M",BK36="M",BL36="M",D36=""),0,1)</f>
        <v>0</v>
      </c>
      <c r="BN36" s="216"/>
      <c r="BO36" s="216"/>
      <c r="BP36" s="218"/>
    </row>
    <row r="37" spans="1:68" ht="17.25" customHeight="1">
      <c r="A37" s="296">
        <v>-62</v>
      </c>
      <c r="B37" s="297">
        <f t="shared" si="0"/>
        <v>-62</v>
      </c>
      <c r="C37" s="298">
        <f t="shared" si="0"/>
        <v>-62</v>
      </c>
      <c r="D37" s="241"/>
      <c r="E37" s="46"/>
      <c r="F37" s="47"/>
      <c r="G37" s="48"/>
      <c r="H37" s="46"/>
      <c r="I37" s="47"/>
      <c r="J37" s="48"/>
      <c r="K37" s="46"/>
      <c r="L37" s="47"/>
      <c r="M37" s="48"/>
      <c r="N37" s="46"/>
      <c r="O37" s="47"/>
      <c r="P37" s="48"/>
      <c r="Q37" s="46"/>
      <c r="R37" s="47"/>
      <c r="S37" s="94"/>
      <c r="T37" s="92" t="str">
        <f>IF(BM37=0,"M",IF(D37="p1",AK37,IF(D37="p2",AL37,IF(D37="A",0,((E37*F37)*G37/0.6)+((H37*I37)*J37/0.6)+((K37*L37)*M37/0.6)+((N37*O37)*P37/0.6)+((Q37*R37)*S37/0.6)))))</f>
        <v>M</v>
      </c>
      <c r="U37" s="264" t="str">
        <f>IF(T37=Calculator!T37,"VALID","ERROR")</f>
        <v>VALID</v>
      </c>
      <c r="V37" s="127"/>
      <c r="W37" s="305">
        <f t="shared" si="1"/>
        <v>0</v>
      </c>
      <c r="X37" s="209"/>
      <c r="Y37" s="209"/>
      <c r="Z37" s="209"/>
      <c r="AA37" s="209"/>
      <c r="AB37" s="257"/>
      <c r="AC37" s="261"/>
      <c r="AD37" s="234"/>
      <c r="AE37" s="234"/>
      <c r="AF37" s="234"/>
      <c r="AG37" s="234"/>
      <c r="AH37" s="234"/>
      <c r="AK37" s="212" t="b">
        <f t="shared" si="2"/>
        <v>0</v>
      </c>
      <c r="AL37" s="212" t="b">
        <f t="shared" si="3"/>
        <v>0</v>
      </c>
      <c r="AM37" s="212" t="str">
        <f>IF(D37="p1",AP37,"no")</f>
        <v>no</v>
      </c>
      <c r="AN37" s="212" t="str">
        <f>IF(D37="p2",AP37,"no")</f>
        <v>no</v>
      </c>
      <c r="AO37" s="213"/>
      <c r="AP37" s="212" t="e">
        <f>WEEKDAY(C37)</f>
        <v>#NUM!</v>
      </c>
      <c r="AQ37" s="292" t="str">
        <f t="shared" si="6"/>
        <v>M</v>
      </c>
      <c r="AR37" s="292" t="str">
        <f t="shared" si="6"/>
        <v>M</v>
      </c>
      <c r="AS37" s="292" t="str">
        <f t="shared" si="6"/>
        <v>M</v>
      </c>
      <c r="AT37" s="292" t="str">
        <f t="shared" si="6"/>
        <v>M</v>
      </c>
      <c r="AU37" s="292" t="str">
        <f t="shared" si="6"/>
        <v>M</v>
      </c>
      <c r="AV37" s="292" t="str">
        <f t="shared" si="6"/>
        <v>M</v>
      </c>
      <c r="AW37" s="292" t="str">
        <f t="shared" si="6"/>
        <v>M</v>
      </c>
      <c r="AX37" s="215"/>
      <c r="AY37" s="214">
        <f t="shared" si="7"/>
        <v>0</v>
      </c>
      <c r="AZ37" s="214">
        <f t="shared" si="7"/>
        <v>0</v>
      </c>
      <c r="BA37" s="214">
        <f t="shared" si="7"/>
        <v>0</v>
      </c>
      <c r="BB37" s="214">
        <f t="shared" si="7"/>
        <v>0</v>
      </c>
      <c r="BC37" s="214">
        <f t="shared" si="7"/>
        <v>0</v>
      </c>
      <c r="BD37" s="214">
        <f t="shared" si="7"/>
        <v>0</v>
      </c>
      <c r="BE37" s="214">
        <f t="shared" si="7"/>
        <v>0</v>
      </c>
      <c r="BH37" s="217" t="str">
        <f>IF(OR(E37="",F37="",G37=""),"M",1)</f>
        <v>M</v>
      </c>
      <c r="BI37" s="217" t="str">
        <f>IF(OR(H37="",I37="",J37=""),"M",1)</f>
        <v>M</v>
      </c>
      <c r="BJ37" s="217" t="str">
        <f>IF(OR(K37="",L37="",M37=""),"M",1)</f>
        <v>M</v>
      </c>
      <c r="BK37" s="217" t="str">
        <f>IF(OR(N37="",O37="",P37=""),"M",1)</f>
        <v>M</v>
      </c>
      <c r="BL37" s="217" t="str">
        <f>IF(OR(Q37="",R37="",S37=""),"M",1)</f>
        <v>M</v>
      </c>
      <c r="BM37" s="217">
        <f>IF(AND(BH37="M",BI37="M",BJ37="M",BK37="M",BL37="M",D37=""),0,1)</f>
        <v>0</v>
      </c>
      <c r="BN37" s="216"/>
      <c r="BO37" s="216"/>
      <c r="BP37" s="218"/>
    </row>
    <row r="38" spans="1:68" ht="17.25" customHeight="1">
      <c r="A38" s="296">
        <v>-61</v>
      </c>
      <c r="B38" s="297">
        <f t="shared" si="0"/>
        <v>-61</v>
      </c>
      <c r="C38" s="298">
        <f t="shared" si="0"/>
        <v>-61</v>
      </c>
      <c r="D38" s="242"/>
      <c r="E38" s="46"/>
      <c r="F38" s="47"/>
      <c r="G38" s="48"/>
      <c r="H38" s="46"/>
      <c r="I38" s="47"/>
      <c r="J38" s="48"/>
      <c r="K38" s="46"/>
      <c r="L38" s="47"/>
      <c r="M38" s="48"/>
      <c r="N38" s="46"/>
      <c r="O38" s="47"/>
      <c r="P38" s="48"/>
      <c r="Q38" s="46"/>
      <c r="R38" s="47"/>
      <c r="S38" s="94"/>
      <c r="T38" s="92" t="str">
        <f>IF(BM38=0,"M",IF(D38="p1",AK38,IF(D38="p2",AL38,IF(D38="A",0,((E38*F38)*G38/0.6)+((H38*I38)*J38/0.6)+((K38*L38)*M38/0.6)+((N38*O38)*P38/0.6)+((Q38*R38)*S38/0.6)))))</f>
        <v>M</v>
      </c>
      <c r="U38" s="264" t="str">
        <f>IF(T38=Calculator!T38,"VALID","ERROR")</f>
        <v>VALID</v>
      </c>
      <c r="V38" s="127"/>
      <c r="W38" s="305">
        <f t="shared" si="1"/>
        <v>0</v>
      </c>
      <c r="X38" s="209"/>
      <c r="Y38" s="209"/>
      <c r="Z38" s="209"/>
      <c r="AA38" s="209"/>
      <c r="AB38" s="257"/>
      <c r="AC38" s="261"/>
      <c r="AD38" s="234"/>
      <c r="AE38" s="234"/>
      <c r="AF38" s="234"/>
      <c r="AG38" s="234"/>
      <c r="AH38" s="234"/>
      <c r="AK38" s="212" t="b">
        <f t="shared" si="2"/>
        <v>0</v>
      </c>
      <c r="AL38" s="212" t="b">
        <f t="shared" si="3"/>
        <v>0</v>
      </c>
      <c r="AM38" s="212" t="str">
        <f>IF(D38="p1",AP38,"no")</f>
        <v>no</v>
      </c>
      <c r="AN38" s="212" t="str">
        <f>IF(D38="p2",AP38,"no")</f>
        <v>no</v>
      </c>
      <c r="AO38" s="213"/>
      <c r="AP38" s="212" t="e">
        <f>WEEKDAY(C38)</f>
        <v>#NUM!</v>
      </c>
      <c r="AQ38" s="292" t="str">
        <f t="shared" si="6"/>
        <v>M</v>
      </c>
      <c r="AR38" s="292" t="str">
        <f t="shared" si="6"/>
        <v>M</v>
      </c>
      <c r="AS38" s="292" t="str">
        <f t="shared" si="6"/>
        <v>M</v>
      </c>
      <c r="AT38" s="292" t="str">
        <f t="shared" si="6"/>
        <v>M</v>
      </c>
      <c r="AU38" s="292" t="str">
        <f t="shared" si="6"/>
        <v>M</v>
      </c>
      <c r="AV38" s="292" t="str">
        <f t="shared" si="6"/>
        <v>M</v>
      </c>
      <c r="AW38" s="292" t="str">
        <f t="shared" si="6"/>
        <v>M</v>
      </c>
      <c r="AX38" s="215"/>
      <c r="AY38" s="214">
        <f t="shared" si="7"/>
        <v>0</v>
      </c>
      <c r="AZ38" s="214">
        <f t="shared" si="7"/>
        <v>0</v>
      </c>
      <c r="BA38" s="214">
        <f t="shared" si="7"/>
        <v>0</v>
      </c>
      <c r="BB38" s="214">
        <f t="shared" si="7"/>
        <v>0</v>
      </c>
      <c r="BC38" s="214">
        <f t="shared" si="7"/>
        <v>0</v>
      </c>
      <c r="BD38" s="214">
        <f t="shared" si="7"/>
        <v>0</v>
      </c>
      <c r="BE38" s="214">
        <f t="shared" si="7"/>
        <v>0</v>
      </c>
      <c r="BH38" s="217" t="str">
        <f>IF(OR(E38="",F38="",G38=""),"M",1)</f>
        <v>M</v>
      </c>
      <c r="BI38" s="217" t="str">
        <f>IF(OR(H38="",I38="",J38=""),"M",1)</f>
        <v>M</v>
      </c>
      <c r="BJ38" s="217" t="str">
        <f>IF(OR(K38="",L38="",M38=""),"M",1)</f>
        <v>M</v>
      </c>
      <c r="BK38" s="217" t="str">
        <f>IF(OR(N38="",O38="",P38=""),"M",1)</f>
        <v>M</v>
      </c>
      <c r="BL38" s="217" t="str">
        <f>IF(OR(Q38="",R38="",S38=""),"M",1)</f>
        <v>M</v>
      </c>
      <c r="BM38" s="217">
        <f>IF(AND(BH38="M",BI38="M",BJ38="M",BK38="M",BL38="M",D38=""),0,1)</f>
        <v>0</v>
      </c>
      <c r="BN38" s="216"/>
      <c r="BO38" s="216"/>
      <c r="BP38" s="218"/>
    </row>
    <row r="39" spans="1:68" ht="17.25" customHeight="1">
      <c r="A39" s="296">
        <v>-60</v>
      </c>
      <c r="B39" s="297">
        <f t="shared" si="0"/>
        <v>-60</v>
      </c>
      <c r="C39" s="298">
        <f t="shared" si="0"/>
        <v>-60</v>
      </c>
      <c r="D39" s="241"/>
      <c r="E39" s="46"/>
      <c r="F39" s="47"/>
      <c r="G39" s="48"/>
      <c r="H39" s="46"/>
      <c r="I39" s="47"/>
      <c r="J39" s="48"/>
      <c r="K39" s="46"/>
      <c r="L39" s="47"/>
      <c r="M39" s="48"/>
      <c r="N39" s="46"/>
      <c r="O39" s="47"/>
      <c r="P39" s="48"/>
      <c r="Q39" s="46"/>
      <c r="R39" s="47"/>
      <c r="S39" s="94"/>
      <c r="T39" s="92" t="str">
        <f>IF(BM39=0,"M",IF(D39="p1",AK39,IF(D39="p2",AL39,IF(D39="A",0,((E39*F39)*G39/0.6)+((H39*I39)*J39/0.6)+((K39*L39)*M39/0.6)+((N39*O39)*P39/0.6)+((Q39*R39)*S39/0.6)))))</f>
        <v>M</v>
      </c>
      <c r="U39" s="264" t="str">
        <f>IF(T39=Calculator!T39,"VALID","ERROR")</f>
        <v>VALID</v>
      </c>
      <c r="V39" s="127"/>
      <c r="W39" s="305">
        <f t="shared" si="1"/>
        <v>0</v>
      </c>
      <c r="X39" s="209"/>
      <c r="Y39" s="209"/>
      <c r="Z39" s="209"/>
      <c r="AA39" s="209"/>
      <c r="AB39" s="257"/>
      <c r="AC39" s="261"/>
      <c r="AD39" s="234"/>
      <c r="AE39" s="234"/>
      <c r="AF39" s="234"/>
      <c r="AG39" s="234"/>
      <c r="AH39" s="234"/>
      <c r="AK39" s="212" t="b">
        <f t="shared" si="2"/>
        <v>0</v>
      </c>
      <c r="AL39" s="212" t="b">
        <f t="shared" si="3"/>
        <v>0</v>
      </c>
      <c r="AM39" s="212" t="str">
        <f>IF(D39="p1",AP39,"no")</f>
        <v>no</v>
      </c>
      <c r="AN39" s="212" t="str">
        <f>IF(D39="p2",AP39,"no")</f>
        <v>no</v>
      </c>
      <c r="AO39" s="213"/>
      <c r="AP39" s="212" t="e">
        <f>WEEKDAY(C39)</f>
        <v>#NUM!</v>
      </c>
      <c r="AQ39" s="292" t="str">
        <f t="shared" si="6"/>
        <v>M</v>
      </c>
      <c r="AR39" s="292" t="str">
        <f t="shared" si="6"/>
        <v>M</v>
      </c>
      <c r="AS39" s="292" t="str">
        <f t="shared" si="6"/>
        <v>M</v>
      </c>
      <c r="AT39" s="292" t="str">
        <f t="shared" si="6"/>
        <v>M</v>
      </c>
      <c r="AU39" s="292" t="str">
        <f t="shared" si="6"/>
        <v>M</v>
      </c>
      <c r="AV39" s="292" t="str">
        <f t="shared" si="6"/>
        <v>M</v>
      </c>
      <c r="AW39" s="292" t="str">
        <f t="shared" si="6"/>
        <v>M</v>
      </c>
      <c r="AX39" s="215"/>
      <c r="AY39" s="214">
        <f t="shared" si="7"/>
        <v>0</v>
      </c>
      <c r="AZ39" s="214">
        <f t="shared" si="7"/>
        <v>0</v>
      </c>
      <c r="BA39" s="214">
        <f t="shared" si="7"/>
        <v>0</v>
      </c>
      <c r="BB39" s="214">
        <f t="shared" si="7"/>
        <v>0</v>
      </c>
      <c r="BC39" s="214">
        <f t="shared" si="7"/>
        <v>0</v>
      </c>
      <c r="BD39" s="214">
        <f t="shared" si="7"/>
        <v>0</v>
      </c>
      <c r="BE39" s="214">
        <f t="shared" si="7"/>
        <v>0</v>
      </c>
      <c r="BH39" s="217" t="str">
        <f>IF(OR(E39="",F39="",G39=""),"M",1)</f>
        <v>M</v>
      </c>
      <c r="BI39" s="217" t="str">
        <f>IF(OR(H39="",I39="",J39=""),"M",1)</f>
        <v>M</v>
      </c>
      <c r="BJ39" s="217" t="str">
        <f>IF(OR(K39="",L39="",M39=""),"M",1)</f>
        <v>M</v>
      </c>
      <c r="BK39" s="217" t="str">
        <f>IF(OR(N39="",O39="",P39=""),"M",1)</f>
        <v>M</v>
      </c>
      <c r="BL39" s="217" t="str">
        <f>IF(OR(Q39="",R39="",S39=""),"M",1)</f>
        <v>M</v>
      </c>
      <c r="BM39" s="217">
        <f>IF(AND(BH39="M",BI39="M",BJ39="M",BK39="M",BL39="M",D39=""),0,1)</f>
        <v>0</v>
      </c>
      <c r="BN39" s="216"/>
      <c r="BO39" s="216"/>
      <c r="BP39" s="218"/>
    </row>
    <row r="40" spans="1:68" ht="17.25" customHeight="1">
      <c r="A40" s="296">
        <v>-59</v>
      </c>
      <c r="B40" s="297">
        <f t="shared" si="0"/>
        <v>-59</v>
      </c>
      <c r="C40" s="298">
        <f t="shared" si="0"/>
        <v>-59</v>
      </c>
      <c r="D40" s="242"/>
      <c r="E40" s="46"/>
      <c r="F40" s="47"/>
      <c r="G40" s="48"/>
      <c r="H40" s="46"/>
      <c r="I40" s="47"/>
      <c r="J40" s="48"/>
      <c r="K40" s="46"/>
      <c r="L40" s="47"/>
      <c r="M40" s="48"/>
      <c r="N40" s="46"/>
      <c r="O40" s="47"/>
      <c r="P40" s="48"/>
      <c r="Q40" s="46"/>
      <c r="R40" s="47"/>
      <c r="S40" s="94"/>
      <c r="T40" s="92" t="str">
        <f>IF(BM40=0,"M",IF(D40="p1",AK40,IF(D40="p2",AL40,IF(D40="A",0,((E40*F40)*G40/0.6)+((H40*I40)*J40/0.6)+((K40*L40)*M40/0.6)+((N40*O40)*P40/0.6)+((Q40*R40)*S40/0.6)))))</f>
        <v>M</v>
      </c>
      <c r="U40" s="264" t="str">
        <f>IF(T40=Calculator!T40,"VALID","ERROR")</f>
        <v>VALID</v>
      </c>
      <c r="V40" s="127"/>
      <c r="W40" s="305">
        <f t="shared" si="1"/>
        <v>0</v>
      </c>
      <c r="X40" s="209"/>
      <c r="Y40" s="209"/>
      <c r="Z40" s="209"/>
      <c r="AA40" s="209"/>
      <c r="AB40" s="257"/>
      <c r="AC40" s="261"/>
      <c r="AD40" s="234"/>
      <c r="AE40" s="234"/>
      <c r="AF40" s="234"/>
      <c r="AG40" s="234"/>
      <c r="AH40" s="234"/>
      <c r="AK40" s="212" t="b">
        <f t="shared" si="2"/>
        <v>0</v>
      </c>
      <c r="AL40" s="212" t="b">
        <f t="shared" si="3"/>
        <v>0</v>
      </c>
      <c r="AM40" s="212" t="str">
        <f>IF(D40="p1",AP40,"no")</f>
        <v>no</v>
      </c>
      <c r="AN40" s="212" t="str">
        <f>IF(D40="p2",AP40,"no")</f>
        <v>no</v>
      </c>
      <c r="AO40" s="213"/>
      <c r="AP40" s="212" t="e">
        <f>WEEKDAY(C40)</f>
        <v>#NUM!</v>
      </c>
      <c r="AQ40" s="292" t="str">
        <f t="shared" si="6"/>
        <v>M</v>
      </c>
      <c r="AR40" s="292" t="str">
        <f t="shared" si="6"/>
        <v>M</v>
      </c>
      <c r="AS40" s="292" t="str">
        <f t="shared" si="6"/>
        <v>M</v>
      </c>
      <c r="AT40" s="292" t="str">
        <f t="shared" si="6"/>
        <v>M</v>
      </c>
      <c r="AU40" s="292" t="str">
        <f t="shared" si="6"/>
        <v>M</v>
      </c>
      <c r="AV40" s="292" t="str">
        <f t="shared" si="6"/>
        <v>M</v>
      </c>
      <c r="AW40" s="292" t="str">
        <f t="shared" si="6"/>
        <v>M</v>
      </c>
      <c r="AX40" s="215"/>
      <c r="AY40" s="214">
        <f t="shared" si="7"/>
        <v>0</v>
      </c>
      <c r="AZ40" s="214">
        <f t="shared" si="7"/>
        <v>0</v>
      </c>
      <c r="BA40" s="214">
        <f t="shared" si="7"/>
        <v>0</v>
      </c>
      <c r="BB40" s="214">
        <f t="shared" si="7"/>
        <v>0</v>
      </c>
      <c r="BC40" s="214">
        <f t="shared" si="7"/>
        <v>0</v>
      </c>
      <c r="BD40" s="214">
        <f t="shared" si="7"/>
        <v>0</v>
      </c>
      <c r="BE40" s="214">
        <f t="shared" si="7"/>
        <v>0</v>
      </c>
      <c r="BH40" s="217" t="str">
        <f>IF(OR(E40="",F40="",G40=""),"M",1)</f>
        <v>M</v>
      </c>
      <c r="BI40" s="217" t="str">
        <f>IF(OR(H40="",I40="",J40=""),"M",1)</f>
        <v>M</v>
      </c>
      <c r="BJ40" s="217" t="str">
        <f>IF(OR(K40="",L40="",M40=""),"M",1)</f>
        <v>M</v>
      </c>
      <c r="BK40" s="217" t="str">
        <f>IF(OR(N40="",O40="",P40=""),"M",1)</f>
        <v>M</v>
      </c>
      <c r="BL40" s="217" t="str">
        <f>IF(OR(Q40="",R40="",S40=""),"M",1)</f>
        <v>M</v>
      </c>
      <c r="BM40" s="217">
        <f>IF(AND(BH40="M",BI40="M",BJ40="M",BK40="M",BL40="M",D40=""),0,1)</f>
        <v>0</v>
      </c>
      <c r="BN40" s="216"/>
      <c r="BO40" s="216"/>
      <c r="BP40" s="218"/>
    </row>
    <row r="41" spans="1:68" ht="17.25" customHeight="1">
      <c r="A41" s="296">
        <v>-58</v>
      </c>
      <c r="B41" s="297">
        <f t="shared" si="0"/>
        <v>-58</v>
      </c>
      <c r="C41" s="298">
        <f t="shared" si="0"/>
        <v>-58</v>
      </c>
      <c r="D41" s="241"/>
      <c r="E41" s="46"/>
      <c r="F41" s="47"/>
      <c r="G41" s="48"/>
      <c r="H41" s="46"/>
      <c r="I41" s="47"/>
      <c r="J41" s="48"/>
      <c r="K41" s="46"/>
      <c r="L41" s="47"/>
      <c r="M41" s="48"/>
      <c r="N41" s="46"/>
      <c r="O41" s="47"/>
      <c r="P41" s="48"/>
      <c r="Q41" s="46"/>
      <c r="R41" s="47"/>
      <c r="S41" s="94"/>
      <c r="T41" s="92" t="str">
        <f>IF(BM41=0,"M",IF(D41="p1",AK41,IF(D41="p2",AL41,IF(D41="A",0,((E41*F41)*G41/0.6)+((H41*I41)*J41/0.6)+((K41*L41)*M41/0.6)+((N41*O41)*P41/0.6)+((Q41*R41)*S41/0.6)))))</f>
        <v>M</v>
      </c>
      <c r="U41" s="264" t="str">
        <f>IF(T41=Calculator!T41,"VALID","ERROR")</f>
        <v>VALID</v>
      </c>
      <c r="V41" s="127"/>
      <c r="W41" s="305">
        <f t="shared" si="1"/>
        <v>0</v>
      </c>
      <c r="X41" s="209"/>
      <c r="Y41" s="209"/>
      <c r="Z41" s="209"/>
      <c r="AA41" s="209"/>
      <c r="AB41" s="257"/>
      <c r="AC41" s="261"/>
      <c r="AD41" s="234"/>
      <c r="AE41" s="234"/>
      <c r="AF41" s="234"/>
      <c r="AG41" s="234"/>
      <c r="AH41" s="234"/>
      <c r="AK41" s="212" t="b">
        <f t="shared" si="2"/>
        <v>0</v>
      </c>
      <c r="AL41" s="212" t="b">
        <f t="shared" si="3"/>
        <v>0</v>
      </c>
      <c r="AM41" s="212" t="str">
        <f>IF(D41="p1",AP41,"no")</f>
        <v>no</v>
      </c>
      <c r="AN41" s="212" t="str">
        <f>IF(D41="p2",AP41,"no")</f>
        <v>no</v>
      </c>
      <c r="AO41" s="213"/>
      <c r="AP41" s="212" t="e">
        <f>WEEKDAY(C41)</f>
        <v>#NUM!</v>
      </c>
      <c r="AQ41" s="292" t="str">
        <f t="shared" si="6"/>
        <v>M</v>
      </c>
      <c r="AR41" s="292" t="str">
        <f t="shared" si="6"/>
        <v>M</v>
      </c>
      <c r="AS41" s="292" t="str">
        <f t="shared" si="6"/>
        <v>M</v>
      </c>
      <c r="AT41" s="292" t="str">
        <f t="shared" si="6"/>
        <v>M</v>
      </c>
      <c r="AU41" s="292" t="str">
        <f t="shared" si="6"/>
        <v>M</v>
      </c>
      <c r="AV41" s="292" t="str">
        <f t="shared" si="6"/>
        <v>M</v>
      </c>
      <c r="AW41" s="292" t="str">
        <f t="shared" si="6"/>
        <v>M</v>
      </c>
      <c r="AX41" s="215"/>
      <c r="AY41" s="214">
        <f t="shared" si="7"/>
        <v>0</v>
      </c>
      <c r="AZ41" s="214">
        <f t="shared" si="7"/>
        <v>0</v>
      </c>
      <c r="BA41" s="214">
        <f t="shared" si="7"/>
        <v>0</v>
      </c>
      <c r="BB41" s="214">
        <f t="shared" si="7"/>
        <v>0</v>
      </c>
      <c r="BC41" s="214">
        <f t="shared" si="7"/>
        <v>0</v>
      </c>
      <c r="BD41" s="214">
        <f t="shared" si="7"/>
        <v>0</v>
      </c>
      <c r="BE41" s="214">
        <f t="shared" si="7"/>
        <v>0</v>
      </c>
      <c r="BH41" s="217" t="str">
        <f>IF(OR(E41="",F41="",G41=""),"M",1)</f>
        <v>M</v>
      </c>
      <c r="BI41" s="217" t="str">
        <f>IF(OR(H41="",I41="",J41=""),"M",1)</f>
        <v>M</v>
      </c>
      <c r="BJ41" s="217" t="str">
        <f>IF(OR(K41="",L41="",M41=""),"M",1)</f>
        <v>M</v>
      </c>
      <c r="BK41" s="217" t="str">
        <f>IF(OR(N41="",O41="",P41=""),"M",1)</f>
        <v>M</v>
      </c>
      <c r="BL41" s="217" t="str">
        <f>IF(OR(Q41="",R41="",S41=""),"M",1)</f>
        <v>M</v>
      </c>
      <c r="BM41" s="217">
        <f>IF(AND(BH41="M",BI41="M",BJ41="M",BK41="M",BL41="M",D41=""),0,1)</f>
        <v>0</v>
      </c>
      <c r="BN41" s="216"/>
      <c r="BO41" s="216"/>
      <c r="BP41" s="218"/>
    </row>
    <row r="42" spans="1:68" ht="17.25" customHeight="1">
      <c r="A42" s="296">
        <v>-57</v>
      </c>
      <c r="B42" s="297">
        <f t="shared" si="0"/>
        <v>-57</v>
      </c>
      <c r="C42" s="298">
        <f t="shared" si="0"/>
        <v>-57</v>
      </c>
      <c r="D42" s="242"/>
      <c r="E42" s="46"/>
      <c r="F42" s="47"/>
      <c r="G42" s="48"/>
      <c r="H42" s="46"/>
      <c r="I42" s="47"/>
      <c r="J42" s="48"/>
      <c r="K42" s="46"/>
      <c r="L42" s="47"/>
      <c r="M42" s="48"/>
      <c r="N42" s="46"/>
      <c r="O42" s="47"/>
      <c r="P42" s="48"/>
      <c r="Q42" s="46"/>
      <c r="R42" s="47"/>
      <c r="S42" s="94"/>
      <c r="T42" s="92" t="str">
        <f>IF(BM42=0,"M",IF(D42="p1",AK42,IF(D42="p2",AL42,IF(D42="A",0,((E42*F42)*G42/0.6)+((H42*I42)*J42/0.6)+((K42*L42)*M42/0.6)+((N42*O42)*P42/0.6)+((Q42*R42)*S42/0.6)))))</f>
        <v>M</v>
      </c>
      <c r="U42" s="264" t="str">
        <f>IF(T42=Calculator!T42,"VALID","ERROR")</f>
        <v>VALID</v>
      </c>
      <c r="V42" s="127"/>
      <c r="W42" s="305">
        <f t="shared" si="1"/>
        <v>0</v>
      </c>
      <c r="X42" s="209"/>
      <c r="Y42" s="209"/>
      <c r="Z42" s="209"/>
      <c r="AA42" s="209"/>
      <c r="AB42" s="257"/>
      <c r="AC42" s="261"/>
      <c r="AD42" s="234"/>
      <c r="AE42" s="234"/>
      <c r="AF42" s="234"/>
      <c r="AG42" s="234"/>
      <c r="AH42" s="234"/>
      <c r="AK42" s="212" t="b">
        <f t="shared" si="2"/>
        <v>0</v>
      </c>
      <c r="AL42" s="212" t="b">
        <f t="shared" si="3"/>
        <v>0</v>
      </c>
      <c r="AM42" s="212" t="str">
        <f>IF(D42="p1",AP42,"no")</f>
        <v>no</v>
      </c>
      <c r="AN42" s="212" t="str">
        <f>IF(D42="p2",AP42,"no")</f>
        <v>no</v>
      </c>
      <c r="AO42" s="213"/>
      <c r="AP42" s="212" t="e">
        <f>WEEKDAY(C42)</f>
        <v>#NUM!</v>
      </c>
      <c r="AQ42" s="292" t="str">
        <f t="shared" ref="AQ42:AW57" si="8">AQ41</f>
        <v>M</v>
      </c>
      <c r="AR42" s="292" t="str">
        <f t="shared" si="8"/>
        <v>M</v>
      </c>
      <c r="AS42" s="292" t="str">
        <f t="shared" si="8"/>
        <v>M</v>
      </c>
      <c r="AT42" s="292" t="str">
        <f t="shared" si="8"/>
        <v>M</v>
      </c>
      <c r="AU42" s="292" t="str">
        <f t="shared" si="8"/>
        <v>M</v>
      </c>
      <c r="AV42" s="292" t="str">
        <f t="shared" si="8"/>
        <v>M</v>
      </c>
      <c r="AW42" s="292" t="str">
        <f t="shared" si="8"/>
        <v>M</v>
      </c>
      <c r="AX42" s="215"/>
      <c r="AY42" s="214">
        <f t="shared" ref="AY42:BE57" si="9">AY41</f>
        <v>0</v>
      </c>
      <c r="AZ42" s="214">
        <f t="shared" si="9"/>
        <v>0</v>
      </c>
      <c r="BA42" s="214">
        <f t="shared" si="9"/>
        <v>0</v>
      </c>
      <c r="BB42" s="214">
        <f t="shared" si="9"/>
        <v>0</v>
      </c>
      <c r="BC42" s="214">
        <f t="shared" si="9"/>
        <v>0</v>
      </c>
      <c r="BD42" s="214">
        <f t="shared" si="9"/>
        <v>0</v>
      </c>
      <c r="BE42" s="214">
        <f t="shared" si="9"/>
        <v>0</v>
      </c>
      <c r="BH42" s="217" t="str">
        <f>IF(OR(E42="",F42="",G42=""),"M",1)</f>
        <v>M</v>
      </c>
      <c r="BI42" s="217" t="str">
        <f>IF(OR(H42="",I42="",J42=""),"M",1)</f>
        <v>M</v>
      </c>
      <c r="BJ42" s="217" t="str">
        <f>IF(OR(K42="",L42="",M42=""),"M",1)</f>
        <v>M</v>
      </c>
      <c r="BK42" s="217" t="str">
        <f>IF(OR(N42="",O42="",P42=""),"M",1)</f>
        <v>M</v>
      </c>
      <c r="BL42" s="217" t="str">
        <f>IF(OR(Q42="",R42="",S42=""),"M",1)</f>
        <v>M</v>
      </c>
      <c r="BM42" s="217">
        <f>IF(AND(BH42="M",BI42="M",BJ42="M",BK42="M",BL42="M",D42=""),0,1)</f>
        <v>0</v>
      </c>
      <c r="BN42" s="216"/>
      <c r="BO42" s="216"/>
      <c r="BP42" s="218"/>
    </row>
    <row r="43" spans="1:68" ht="17.25" customHeight="1">
      <c r="A43" s="296">
        <v>-56</v>
      </c>
      <c r="B43" s="297">
        <f t="shared" si="0"/>
        <v>-56</v>
      </c>
      <c r="C43" s="298">
        <f t="shared" si="0"/>
        <v>-56</v>
      </c>
      <c r="D43" s="241"/>
      <c r="E43" s="46"/>
      <c r="F43" s="47"/>
      <c r="G43" s="48"/>
      <c r="H43" s="46"/>
      <c r="I43" s="47"/>
      <c r="J43" s="48"/>
      <c r="K43" s="46"/>
      <c r="L43" s="47"/>
      <c r="M43" s="48"/>
      <c r="N43" s="46"/>
      <c r="O43" s="47"/>
      <c r="P43" s="48"/>
      <c r="Q43" s="46"/>
      <c r="R43" s="47"/>
      <c r="S43" s="94"/>
      <c r="T43" s="92" t="str">
        <f>IF(BM43=0,"M",IF(D43="p1",AK43,IF(D43="p2",AL43,IF(D43="A",0,((E43*F43)*G43/0.6)+((H43*I43)*J43/0.6)+((K43*L43)*M43/0.6)+((N43*O43)*P43/0.6)+((Q43*R43)*S43/0.6)))))</f>
        <v>M</v>
      </c>
      <c r="U43" s="264" t="str">
        <f>IF(T43=Calculator!T43,"VALID","ERROR")</f>
        <v>VALID</v>
      </c>
      <c r="V43" s="127"/>
      <c r="W43" s="305">
        <f t="shared" si="1"/>
        <v>0</v>
      </c>
      <c r="X43" s="209"/>
      <c r="Y43" s="209"/>
      <c r="Z43" s="209"/>
      <c r="AA43" s="209"/>
      <c r="AB43" s="257"/>
      <c r="AC43" s="261"/>
      <c r="AD43" s="234"/>
      <c r="AE43" s="234"/>
      <c r="AF43" s="234"/>
      <c r="AG43" s="234"/>
      <c r="AH43" s="234"/>
      <c r="AK43" s="212" t="b">
        <f t="shared" si="2"/>
        <v>0</v>
      </c>
      <c r="AL43" s="212" t="b">
        <f t="shared" si="3"/>
        <v>0</v>
      </c>
      <c r="AM43" s="212" t="str">
        <f>IF(D43="p1",AP43,"no")</f>
        <v>no</v>
      </c>
      <c r="AN43" s="212" t="str">
        <f>IF(D43="p2",AP43,"no")</f>
        <v>no</v>
      </c>
      <c r="AO43" s="213"/>
      <c r="AP43" s="212" t="e">
        <f>WEEKDAY(C43)</f>
        <v>#NUM!</v>
      </c>
      <c r="AQ43" s="292" t="str">
        <f t="shared" si="8"/>
        <v>M</v>
      </c>
      <c r="AR43" s="292" t="str">
        <f t="shared" si="8"/>
        <v>M</v>
      </c>
      <c r="AS43" s="292" t="str">
        <f t="shared" si="8"/>
        <v>M</v>
      </c>
      <c r="AT43" s="292" t="str">
        <f t="shared" si="8"/>
        <v>M</v>
      </c>
      <c r="AU43" s="292" t="str">
        <f t="shared" si="8"/>
        <v>M</v>
      </c>
      <c r="AV43" s="292" t="str">
        <f t="shared" si="8"/>
        <v>M</v>
      </c>
      <c r="AW43" s="292" t="str">
        <f t="shared" si="8"/>
        <v>M</v>
      </c>
      <c r="AX43" s="215"/>
      <c r="AY43" s="214">
        <f t="shared" si="9"/>
        <v>0</v>
      </c>
      <c r="AZ43" s="214">
        <f t="shared" si="9"/>
        <v>0</v>
      </c>
      <c r="BA43" s="214">
        <f t="shared" si="9"/>
        <v>0</v>
      </c>
      <c r="BB43" s="214">
        <f t="shared" si="9"/>
        <v>0</v>
      </c>
      <c r="BC43" s="214">
        <f t="shared" si="9"/>
        <v>0</v>
      </c>
      <c r="BD43" s="214">
        <f t="shared" si="9"/>
        <v>0</v>
      </c>
      <c r="BE43" s="214">
        <f t="shared" si="9"/>
        <v>0</v>
      </c>
      <c r="BH43" s="217" t="str">
        <f>IF(OR(E43="",F43="",G43=""),"M",1)</f>
        <v>M</v>
      </c>
      <c r="BI43" s="217" t="str">
        <f>IF(OR(H43="",I43="",J43=""),"M",1)</f>
        <v>M</v>
      </c>
      <c r="BJ43" s="217" t="str">
        <f>IF(OR(K43="",L43="",M43=""),"M",1)</f>
        <v>M</v>
      </c>
      <c r="BK43" s="217" t="str">
        <f>IF(OR(N43="",O43="",P43=""),"M",1)</f>
        <v>M</v>
      </c>
      <c r="BL43" s="217" t="str">
        <f>IF(OR(Q43="",R43="",S43=""),"M",1)</f>
        <v>M</v>
      </c>
      <c r="BM43" s="217">
        <f>IF(AND(BH43="M",BI43="M",BJ43="M",BK43="M",BL43="M",D43=""),0,1)</f>
        <v>0</v>
      </c>
      <c r="BN43" s="216"/>
      <c r="BO43" s="216"/>
      <c r="BP43" s="218"/>
    </row>
    <row r="44" spans="1:68" ht="17.25" customHeight="1">
      <c r="A44" s="296">
        <v>-55</v>
      </c>
      <c r="B44" s="297">
        <f t="shared" si="0"/>
        <v>-55</v>
      </c>
      <c r="C44" s="298">
        <f t="shared" si="0"/>
        <v>-55</v>
      </c>
      <c r="D44" s="242"/>
      <c r="E44" s="46"/>
      <c r="F44" s="47"/>
      <c r="G44" s="48"/>
      <c r="H44" s="46"/>
      <c r="I44" s="47"/>
      <c r="J44" s="48"/>
      <c r="K44" s="46"/>
      <c r="L44" s="47"/>
      <c r="M44" s="48"/>
      <c r="N44" s="46"/>
      <c r="O44" s="47"/>
      <c r="P44" s="48"/>
      <c r="Q44" s="46"/>
      <c r="R44" s="47"/>
      <c r="S44" s="94"/>
      <c r="T44" s="92" t="str">
        <f>IF(BM44=0,"M",IF(D44="p1",AK44,IF(D44="p2",AL44,IF(D44="A",0,((E44*F44)*G44/0.6)+((H44*I44)*J44/0.6)+((K44*L44)*M44/0.6)+((N44*O44)*P44/0.6)+((Q44*R44)*S44/0.6)))))</f>
        <v>M</v>
      </c>
      <c r="U44" s="264" t="str">
        <f>IF(T44=Calculator!T44,"VALID","ERROR")</f>
        <v>VALID</v>
      </c>
      <c r="V44" s="127"/>
      <c r="W44" s="305">
        <f t="shared" si="1"/>
        <v>0</v>
      </c>
      <c r="X44" s="209"/>
      <c r="Y44" s="209"/>
      <c r="Z44" s="209"/>
      <c r="AA44" s="209"/>
      <c r="AB44" s="257"/>
      <c r="AC44" s="261"/>
      <c r="AD44" s="234"/>
      <c r="AE44" s="234"/>
      <c r="AF44" s="234"/>
      <c r="AG44" s="234"/>
      <c r="AH44" s="234"/>
      <c r="AK44" s="212" t="b">
        <f t="shared" si="2"/>
        <v>0</v>
      </c>
      <c r="AL44" s="212" t="b">
        <f t="shared" si="3"/>
        <v>0</v>
      </c>
      <c r="AM44" s="212" t="str">
        <f>IF(D44="p1",AP44,"no")</f>
        <v>no</v>
      </c>
      <c r="AN44" s="212" t="str">
        <f>IF(D44="p2",AP44,"no")</f>
        <v>no</v>
      </c>
      <c r="AO44" s="213"/>
      <c r="AP44" s="212" t="e">
        <f>WEEKDAY(C44)</f>
        <v>#NUM!</v>
      </c>
      <c r="AQ44" s="292" t="str">
        <f t="shared" si="8"/>
        <v>M</v>
      </c>
      <c r="AR44" s="292" t="str">
        <f t="shared" si="8"/>
        <v>M</v>
      </c>
      <c r="AS44" s="292" t="str">
        <f t="shared" si="8"/>
        <v>M</v>
      </c>
      <c r="AT44" s="292" t="str">
        <f t="shared" si="8"/>
        <v>M</v>
      </c>
      <c r="AU44" s="292" t="str">
        <f t="shared" si="8"/>
        <v>M</v>
      </c>
      <c r="AV44" s="292" t="str">
        <f t="shared" si="8"/>
        <v>M</v>
      </c>
      <c r="AW44" s="292" t="str">
        <f t="shared" si="8"/>
        <v>M</v>
      </c>
      <c r="AX44" s="215"/>
      <c r="AY44" s="214">
        <f t="shared" si="9"/>
        <v>0</v>
      </c>
      <c r="AZ44" s="214">
        <f t="shared" si="9"/>
        <v>0</v>
      </c>
      <c r="BA44" s="214">
        <f t="shared" si="9"/>
        <v>0</v>
      </c>
      <c r="BB44" s="214">
        <f t="shared" si="9"/>
        <v>0</v>
      </c>
      <c r="BC44" s="214">
        <f t="shared" si="9"/>
        <v>0</v>
      </c>
      <c r="BD44" s="214">
        <f t="shared" si="9"/>
        <v>0</v>
      </c>
      <c r="BE44" s="214">
        <f t="shared" si="9"/>
        <v>0</v>
      </c>
      <c r="BH44" s="217" t="str">
        <f>IF(OR(E44="",F44="",G44=""),"M",1)</f>
        <v>M</v>
      </c>
      <c r="BI44" s="217" t="str">
        <f>IF(OR(H44="",I44="",J44=""),"M",1)</f>
        <v>M</v>
      </c>
      <c r="BJ44" s="217" t="str">
        <f>IF(OR(K44="",L44="",M44=""),"M",1)</f>
        <v>M</v>
      </c>
      <c r="BK44" s="217" t="str">
        <f>IF(OR(N44="",O44="",P44=""),"M",1)</f>
        <v>M</v>
      </c>
      <c r="BL44" s="217" t="str">
        <f>IF(OR(Q44="",R44="",S44=""),"M",1)</f>
        <v>M</v>
      </c>
      <c r="BM44" s="217">
        <f>IF(AND(BH44="M",BI44="M",BJ44="M",BK44="M",BL44="M",D44=""),0,1)</f>
        <v>0</v>
      </c>
      <c r="BN44" s="216"/>
      <c r="BO44" s="216"/>
      <c r="BP44" s="218"/>
    </row>
    <row r="45" spans="1:68" ht="17.25" customHeight="1">
      <c r="A45" s="296">
        <v>-54</v>
      </c>
      <c r="B45" s="297">
        <f t="shared" si="0"/>
        <v>-54</v>
      </c>
      <c r="C45" s="298">
        <f t="shared" si="0"/>
        <v>-54</v>
      </c>
      <c r="D45" s="241"/>
      <c r="E45" s="46"/>
      <c r="F45" s="47"/>
      <c r="G45" s="48"/>
      <c r="H45" s="46"/>
      <c r="I45" s="47"/>
      <c r="J45" s="48"/>
      <c r="K45" s="46"/>
      <c r="L45" s="47"/>
      <c r="M45" s="48"/>
      <c r="N45" s="46"/>
      <c r="O45" s="47"/>
      <c r="P45" s="48"/>
      <c r="Q45" s="46"/>
      <c r="R45" s="47"/>
      <c r="S45" s="94"/>
      <c r="T45" s="92" t="str">
        <f>IF(BM45=0,"M",IF(D45="p1",AK45,IF(D45="p2",AL45,IF(D45="A",0,((E45*F45)*G45/0.6)+((H45*I45)*J45/0.6)+((K45*L45)*M45/0.6)+((N45*O45)*P45/0.6)+((Q45*R45)*S45/0.6)))))</f>
        <v>M</v>
      </c>
      <c r="U45" s="264" t="str">
        <f>IF(T45=Calculator!T45,"VALID","ERROR")</f>
        <v>VALID</v>
      </c>
      <c r="V45" s="127"/>
      <c r="W45" s="305">
        <f t="shared" si="1"/>
        <v>0</v>
      </c>
      <c r="X45" s="209"/>
      <c r="Y45" s="209"/>
      <c r="Z45" s="209"/>
      <c r="AA45" s="209"/>
      <c r="AB45" s="257"/>
      <c r="AC45" s="261"/>
      <c r="AD45" s="234"/>
      <c r="AE45" s="234"/>
      <c r="AF45" s="234"/>
      <c r="AG45" s="234"/>
      <c r="AH45" s="234"/>
      <c r="AK45" s="212" t="b">
        <f t="shared" si="2"/>
        <v>0</v>
      </c>
      <c r="AL45" s="212" t="b">
        <f t="shared" si="3"/>
        <v>0</v>
      </c>
      <c r="AM45" s="212" t="str">
        <f>IF(D45="p1",AP45,"no")</f>
        <v>no</v>
      </c>
      <c r="AN45" s="212" t="str">
        <f>IF(D45="p2",AP45,"no")</f>
        <v>no</v>
      </c>
      <c r="AO45" s="213"/>
      <c r="AP45" s="212" t="e">
        <f>WEEKDAY(C45)</f>
        <v>#NUM!</v>
      </c>
      <c r="AQ45" s="292" t="str">
        <f t="shared" si="8"/>
        <v>M</v>
      </c>
      <c r="AR45" s="292" t="str">
        <f t="shared" si="8"/>
        <v>M</v>
      </c>
      <c r="AS45" s="292" t="str">
        <f t="shared" si="8"/>
        <v>M</v>
      </c>
      <c r="AT45" s="292" t="str">
        <f t="shared" si="8"/>
        <v>M</v>
      </c>
      <c r="AU45" s="292" t="str">
        <f t="shared" si="8"/>
        <v>M</v>
      </c>
      <c r="AV45" s="292" t="str">
        <f t="shared" si="8"/>
        <v>M</v>
      </c>
      <c r="AW45" s="292" t="str">
        <f t="shared" si="8"/>
        <v>M</v>
      </c>
      <c r="AX45" s="215"/>
      <c r="AY45" s="214">
        <f t="shared" si="9"/>
        <v>0</v>
      </c>
      <c r="AZ45" s="214">
        <f t="shared" si="9"/>
        <v>0</v>
      </c>
      <c r="BA45" s="214">
        <f t="shared" si="9"/>
        <v>0</v>
      </c>
      <c r="BB45" s="214">
        <f t="shared" si="9"/>
        <v>0</v>
      </c>
      <c r="BC45" s="214">
        <f t="shared" si="9"/>
        <v>0</v>
      </c>
      <c r="BD45" s="214">
        <f t="shared" si="9"/>
        <v>0</v>
      </c>
      <c r="BE45" s="214">
        <f t="shared" si="9"/>
        <v>0</v>
      </c>
      <c r="BH45" s="217" t="str">
        <f>IF(OR(E45="",F45="",G45=""),"M",1)</f>
        <v>M</v>
      </c>
      <c r="BI45" s="217" t="str">
        <f>IF(OR(H45="",I45="",J45=""),"M",1)</f>
        <v>M</v>
      </c>
      <c r="BJ45" s="217" t="str">
        <f>IF(OR(K45="",L45="",M45=""),"M",1)</f>
        <v>M</v>
      </c>
      <c r="BK45" s="217" t="str">
        <f>IF(OR(N45="",O45="",P45=""),"M",1)</f>
        <v>M</v>
      </c>
      <c r="BL45" s="217" t="str">
        <f>IF(OR(Q45="",R45="",S45=""),"M",1)</f>
        <v>M</v>
      </c>
      <c r="BM45" s="217">
        <f>IF(AND(BH45="M",BI45="M",BJ45="M",BK45="M",BL45="M",D45=""),0,1)</f>
        <v>0</v>
      </c>
      <c r="BN45" s="216"/>
      <c r="BO45" s="216"/>
      <c r="BP45" s="218"/>
    </row>
    <row r="46" spans="1:68" ht="17.25" customHeight="1">
      <c r="A46" s="296">
        <v>-53</v>
      </c>
      <c r="B46" s="297">
        <f t="shared" si="0"/>
        <v>-53</v>
      </c>
      <c r="C46" s="298">
        <f t="shared" si="0"/>
        <v>-53</v>
      </c>
      <c r="D46" s="242"/>
      <c r="E46" s="46"/>
      <c r="F46" s="47"/>
      <c r="G46" s="48"/>
      <c r="H46" s="46"/>
      <c r="I46" s="47"/>
      <c r="J46" s="48"/>
      <c r="K46" s="46"/>
      <c r="L46" s="47"/>
      <c r="M46" s="48"/>
      <c r="N46" s="46"/>
      <c r="O46" s="47"/>
      <c r="P46" s="48"/>
      <c r="Q46" s="46"/>
      <c r="R46" s="47"/>
      <c r="S46" s="94"/>
      <c r="T46" s="92" t="str">
        <f>IF(BM46=0,"M",IF(D46="p1",AK46,IF(D46="p2",AL46,IF(D46="A",0,((E46*F46)*G46/0.6)+((H46*I46)*J46/0.6)+((K46*L46)*M46/0.6)+((N46*O46)*P46/0.6)+((Q46*R46)*S46/0.6)))))</f>
        <v>M</v>
      </c>
      <c r="U46" s="264" t="str">
        <f>IF(T46=Calculator!T46,"VALID","ERROR")</f>
        <v>VALID</v>
      </c>
      <c r="V46" s="127"/>
      <c r="W46" s="305">
        <f t="shared" si="1"/>
        <v>0</v>
      </c>
      <c r="X46" s="209"/>
      <c r="Y46" s="209"/>
      <c r="Z46" s="209"/>
      <c r="AA46" s="209"/>
      <c r="AB46" s="257"/>
      <c r="AC46" s="261"/>
      <c r="AD46" s="234"/>
      <c r="AE46" s="234"/>
      <c r="AF46" s="234"/>
      <c r="AG46" s="234"/>
      <c r="AH46" s="234"/>
      <c r="AK46" s="212" t="b">
        <f t="shared" si="2"/>
        <v>0</v>
      </c>
      <c r="AL46" s="212" t="b">
        <f t="shared" si="3"/>
        <v>0</v>
      </c>
      <c r="AM46" s="212" t="str">
        <f>IF(D46="p1",AP46,"no")</f>
        <v>no</v>
      </c>
      <c r="AN46" s="212" t="str">
        <f>IF(D46="p2",AP46,"no")</f>
        <v>no</v>
      </c>
      <c r="AO46" s="213"/>
      <c r="AP46" s="212" t="e">
        <f>WEEKDAY(C46)</f>
        <v>#NUM!</v>
      </c>
      <c r="AQ46" s="292" t="str">
        <f t="shared" si="8"/>
        <v>M</v>
      </c>
      <c r="AR46" s="292" t="str">
        <f t="shared" si="8"/>
        <v>M</v>
      </c>
      <c r="AS46" s="292" t="str">
        <f t="shared" si="8"/>
        <v>M</v>
      </c>
      <c r="AT46" s="292" t="str">
        <f t="shared" si="8"/>
        <v>M</v>
      </c>
      <c r="AU46" s="292" t="str">
        <f t="shared" si="8"/>
        <v>M</v>
      </c>
      <c r="AV46" s="292" t="str">
        <f t="shared" si="8"/>
        <v>M</v>
      </c>
      <c r="AW46" s="292" t="str">
        <f t="shared" si="8"/>
        <v>M</v>
      </c>
      <c r="AX46" s="215"/>
      <c r="AY46" s="214">
        <f t="shared" si="9"/>
        <v>0</v>
      </c>
      <c r="AZ46" s="214">
        <f t="shared" si="9"/>
        <v>0</v>
      </c>
      <c r="BA46" s="214">
        <f t="shared" si="9"/>
        <v>0</v>
      </c>
      <c r="BB46" s="214">
        <f t="shared" si="9"/>
        <v>0</v>
      </c>
      <c r="BC46" s="214">
        <f t="shared" si="9"/>
        <v>0</v>
      </c>
      <c r="BD46" s="214">
        <f t="shared" si="9"/>
        <v>0</v>
      </c>
      <c r="BE46" s="214">
        <f t="shared" si="9"/>
        <v>0</v>
      </c>
      <c r="BH46" s="217" t="str">
        <f>IF(OR(E46="",F46="",G46=""),"M",1)</f>
        <v>M</v>
      </c>
      <c r="BI46" s="217" t="str">
        <f>IF(OR(H46="",I46="",J46=""),"M",1)</f>
        <v>M</v>
      </c>
      <c r="BJ46" s="217" t="str">
        <f>IF(OR(K46="",L46="",M46=""),"M",1)</f>
        <v>M</v>
      </c>
      <c r="BK46" s="217" t="str">
        <f>IF(OR(N46="",O46="",P46=""),"M",1)</f>
        <v>M</v>
      </c>
      <c r="BL46" s="217" t="str">
        <f>IF(OR(Q46="",R46="",S46=""),"M",1)</f>
        <v>M</v>
      </c>
      <c r="BM46" s="217">
        <f>IF(AND(BH46="M",BI46="M",BJ46="M",BK46="M",BL46="M",D46=""),0,1)</f>
        <v>0</v>
      </c>
      <c r="BN46" s="216"/>
      <c r="BO46" s="216"/>
      <c r="BP46" s="218"/>
    </row>
    <row r="47" spans="1:68" ht="17.25" customHeight="1">
      <c r="A47" s="296">
        <v>-52</v>
      </c>
      <c r="B47" s="297">
        <f t="shared" si="0"/>
        <v>-52</v>
      </c>
      <c r="C47" s="298">
        <f t="shared" si="0"/>
        <v>-52</v>
      </c>
      <c r="D47" s="241"/>
      <c r="E47" s="46"/>
      <c r="F47" s="47"/>
      <c r="G47" s="48"/>
      <c r="H47" s="46"/>
      <c r="I47" s="47"/>
      <c r="J47" s="48"/>
      <c r="K47" s="46"/>
      <c r="L47" s="47"/>
      <c r="M47" s="48"/>
      <c r="N47" s="46"/>
      <c r="O47" s="47"/>
      <c r="P47" s="48"/>
      <c r="Q47" s="46"/>
      <c r="R47" s="47"/>
      <c r="S47" s="94"/>
      <c r="T47" s="92" t="str">
        <f>IF(BM47=0,"M",IF(D47="p1",AK47,IF(D47="p2",AL47,IF(D47="A",0,((E47*F47)*G47/0.6)+((H47*I47)*J47/0.6)+((K47*L47)*M47/0.6)+((N47*O47)*P47/0.6)+((Q47*R47)*S47/0.6)))))</f>
        <v>M</v>
      </c>
      <c r="U47" s="264" t="str">
        <f>IF(T47=Calculator!T47,"VALID","ERROR")</f>
        <v>VALID</v>
      </c>
      <c r="V47" s="127"/>
      <c r="W47" s="305">
        <f t="shared" si="1"/>
        <v>0</v>
      </c>
      <c r="X47" s="209"/>
      <c r="Y47" s="209"/>
      <c r="Z47" s="209"/>
      <c r="AA47" s="209"/>
      <c r="AB47" s="257"/>
      <c r="AC47" s="261"/>
      <c r="AD47" s="234"/>
      <c r="AE47" s="234"/>
      <c r="AF47" s="234"/>
      <c r="AG47" s="234"/>
      <c r="AH47" s="234"/>
      <c r="AK47" s="212" t="b">
        <f t="shared" si="2"/>
        <v>0</v>
      </c>
      <c r="AL47" s="212" t="b">
        <f t="shared" si="3"/>
        <v>0</v>
      </c>
      <c r="AM47" s="212" t="str">
        <f>IF(D47="p1",AP47,"no")</f>
        <v>no</v>
      </c>
      <c r="AN47" s="212" t="str">
        <f>IF(D47="p2",AP47,"no")</f>
        <v>no</v>
      </c>
      <c r="AO47" s="213"/>
      <c r="AP47" s="212" t="e">
        <f>WEEKDAY(C47)</f>
        <v>#NUM!</v>
      </c>
      <c r="AQ47" s="292" t="str">
        <f t="shared" si="8"/>
        <v>M</v>
      </c>
      <c r="AR47" s="292" t="str">
        <f t="shared" si="8"/>
        <v>M</v>
      </c>
      <c r="AS47" s="292" t="str">
        <f t="shared" si="8"/>
        <v>M</v>
      </c>
      <c r="AT47" s="292" t="str">
        <f t="shared" si="8"/>
        <v>M</v>
      </c>
      <c r="AU47" s="292" t="str">
        <f t="shared" si="8"/>
        <v>M</v>
      </c>
      <c r="AV47" s="292" t="str">
        <f t="shared" si="8"/>
        <v>M</v>
      </c>
      <c r="AW47" s="292" t="str">
        <f t="shared" si="8"/>
        <v>M</v>
      </c>
      <c r="AX47" s="215"/>
      <c r="AY47" s="214">
        <f t="shared" si="9"/>
        <v>0</v>
      </c>
      <c r="AZ47" s="214">
        <f t="shared" si="9"/>
        <v>0</v>
      </c>
      <c r="BA47" s="214">
        <f t="shared" si="9"/>
        <v>0</v>
      </c>
      <c r="BB47" s="214">
        <f t="shared" si="9"/>
        <v>0</v>
      </c>
      <c r="BC47" s="214">
        <f t="shared" si="9"/>
        <v>0</v>
      </c>
      <c r="BD47" s="214">
        <f t="shared" si="9"/>
        <v>0</v>
      </c>
      <c r="BE47" s="214">
        <f t="shared" si="9"/>
        <v>0</v>
      </c>
      <c r="BH47" s="217" t="str">
        <f>IF(OR(E47="",F47="",G47=""),"M",1)</f>
        <v>M</v>
      </c>
      <c r="BI47" s="217" t="str">
        <f>IF(OR(H47="",I47="",J47=""),"M",1)</f>
        <v>M</v>
      </c>
      <c r="BJ47" s="217" t="str">
        <f>IF(OR(K47="",L47="",M47=""),"M",1)</f>
        <v>M</v>
      </c>
      <c r="BK47" s="217" t="str">
        <f>IF(OR(N47="",O47="",P47=""),"M",1)</f>
        <v>M</v>
      </c>
      <c r="BL47" s="217" t="str">
        <f>IF(OR(Q47="",R47="",S47=""),"M",1)</f>
        <v>M</v>
      </c>
      <c r="BM47" s="217">
        <f>IF(AND(BH47="M",BI47="M",BJ47="M",BK47="M",BL47="M",D47=""),0,1)</f>
        <v>0</v>
      </c>
      <c r="BN47" s="216"/>
      <c r="BO47" s="216"/>
      <c r="BP47" s="218"/>
    </row>
    <row r="48" spans="1:68" ht="17.25" customHeight="1">
      <c r="A48" s="296">
        <v>-51</v>
      </c>
      <c r="B48" s="297">
        <f t="shared" si="0"/>
        <v>-51</v>
      </c>
      <c r="C48" s="298">
        <f t="shared" si="0"/>
        <v>-51</v>
      </c>
      <c r="D48" s="242"/>
      <c r="E48" s="46"/>
      <c r="F48" s="47"/>
      <c r="G48" s="48"/>
      <c r="H48" s="46"/>
      <c r="I48" s="47"/>
      <c r="J48" s="48"/>
      <c r="K48" s="46"/>
      <c r="L48" s="47"/>
      <c r="M48" s="48"/>
      <c r="N48" s="46"/>
      <c r="O48" s="47"/>
      <c r="P48" s="48"/>
      <c r="Q48" s="46"/>
      <c r="R48" s="47"/>
      <c r="S48" s="94"/>
      <c r="T48" s="92" t="str">
        <f>IF(BM48=0,"M",IF(D48="p1",AK48,IF(D48="p2",AL48,IF(D48="A",0,((E48*F48)*G48/0.6)+((H48*I48)*J48/0.6)+((K48*L48)*M48/0.6)+((N48*O48)*P48/0.6)+((Q48*R48)*S48/0.6)))))</f>
        <v>M</v>
      </c>
      <c r="U48" s="264" t="str">
        <f>IF(T48=Calculator!T48,"VALID","ERROR")</f>
        <v>VALID</v>
      </c>
      <c r="V48" s="127"/>
      <c r="W48" s="305">
        <f t="shared" si="1"/>
        <v>0</v>
      </c>
      <c r="X48" s="209"/>
      <c r="Y48" s="209"/>
      <c r="Z48" s="209"/>
      <c r="AA48" s="209"/>
      <c r="AB48" s="257"/>
      <c r="AC48" s="261"/>
      <c r="AD48" s="234"/>
      <c r="AE48" s="234"/>
      <c r="AF48" s="234"/>
      <c r="AG48" s="234"/>
      <c r="AH48" s="234"/>
      <c r="AK48" s="212" t="b">
        <f t="shared" si="2"/>
        <v>0</v>
      </c>
      <c r="AL48" s="212" t="b">
        <f t="shared" si="3"/>
        <v>0</v>
      </c>
      <c r="AM48" s="212" t="str">
        <f>IF(D48="p1",AP48,"no")</f>
        <v>no</v>
      </c>
      <c r="AN48" s="212" t="str">
        <f>IF(D48="p2",AP48,"no")</f>
        <v>no</v>
      </c>
      <c r="AO48" s="213"/>
      <c r="AP48" s="212" t="e">
        <f>WEEKDAY(C48)</f>
        <v>#NUM!</v>
      </c>
      <c r="AQ48" s="292" t="str">
        <f t="shared" si="8"/>
        <v>M</v>
      </c>
      <c r="AR48" s="292" t="str">
        <f t="shared" si="8"/>
        <v>M</v>
      </c>
      <c r="AS48" s="292" t="str">
        <f t="shared" si="8"/>
        <v>M</v>
      </c>
      <c r="AT48" s="292" t="str">
        <f t="shared" si="8"/>
        <v>M</v>
      </c>
      <c r="AU48" s="292" t="str">
        <f t="shared" si="8"/>
        <v>M</v>
      </c>
      <c r="AV48" s="292" t="str">
        <f t="shared" si="8"/>
        <v>M</v>
      </c>
      <c r="AW48" s="292" t="str">
        <f t="shared" si="8"/>
        <v>M</v>
      </c>
      <c r="AX48" s="215"/>
      <c r="AY48" s="214">
        <f t="shared" si="9"/>
        <v>0</v>
      </c>
      <c r="AZ48" s="214">
        <f t="shared" si="9"/>
        <v>0</v>
      </c>
      <c r="BA48" s="214">
        <f t="shared" si="9"/>
        <v>0</v>
      </c>
      <c r="BB48" s="214">
        <f t="shared" si="9"/>
        <v>0</v>
      </c>
      <c r="BC48" s="214">
        <f t="shared" si="9"/>
        <v>0</v>
      </c>
      <c r="BD48" s="214">
        <f t="shared" si="9"/>
        <v>0</v>
      </c>
      <c r="BE48" s="214">
        <f t="shared" si="9"/>
        <v>0</v>
      </c>
      <c r="BH48" s="217" t="str">
        <f>IF(OR(E48="",F48="",G48=""),"M",1)</f>
        <v>M</v>
      </c>
      <c r="BI48" s="217" t="str">
        <f>IF(OR(H48="",I48="",J48=""),"M",1)</f>
        <v>M</v>
      </c>
      <c r="BJ48" s="217" t="str">
        <f>IF(OR(K48="",L48="",M48=""),"M",1)</f>
        <v>M</v>
      </c>
      <c r="BK48" s="217" t="str">
        <f>IF(OR(N48="",O48="",P48=""),"M",1)</f>
        <v>M</v>
      </c>
      <c r="BL48" s="217" t="str">
        <f>IF(OR(Q48="",R48="",S48=""),"M",1)</f>
        <v>M</v>
      </c>
      <c r="BM48" s="217">
        <f>IF(AND(BH48="M",BI48="M",BJ48="M",BK48="M",BL48="M",D48=""),0,1)</f>
        <v>0</v>
      </c>
      <c r="BN48" s="216"/>
      <c r="BO48" s="216"/>
      <c r="BP48" s="218"/>
    </row>
    <row r="49" spans="1:68" ht="17.25" customHeight="1">
      <c r="A49" s="296">
        <v>-50</v>
      </c>
      <c r="B49" s="297">
        <f t="shared" si="0"/>
        <v>-50</v>
      </c>
      <c r="C49" s="298">
        <f t="shared" si="0"/>
        <v>-50</v>
      </c>
      <c r="D49" s="241"/>
      <c r="E49" s="46"/>
      <c r="F49" s="47"/>
      <c r="G49" s="48"/>
      <c r="H49" s="46"/>
      <c r="I49" s="47"/>
      <c r="J49" s="48"/>
      <c r="K49" s="46"/>
      <c r="L49" s="47"/>
      <c r="M49" s="48"/>
      <c r="N49" s="46"/>
      <c r="O49" s="47"/>
      <c r="P49" s="48"/>
      <c r="Q49" s="46"/>
      <c r="R49" s="47"/>
      <c r="S49" s="94"/>
      <c r="T49" s="92" t="str">
        <f>IF(BM49=0,"M",IF(D49="p1",AK49,IF(D49="p2",AL49,IF(D49="A",0,((E49*F49)*G49/0.6)+((H49*I49)*J49/0.6)+((K49*L49)*M49/0.6)+((N49*O49)*P49/0.6)+((Q49*R49)*S49/0.6)))))</f>
        <v>M</v>
      </c>
      <c r="U49" s="264" t="str">
        <f>IF(T49=Calculator!T49,"VALID","ERROR")</f>
        <v>VALID</v>
      </c>
      <c r="V49" s="127"/>
      <c r="W49" s="305">
        <f t="shared" si="1"/>
        <v>0</v>
      </c>
      <c r="X49" s="209"/>
      <c r="Y49" s="209"/>
      <c r="Z49" s="209"/>
      <c r="AA49" s="209"/>
      <c r="AB49" s="257"/>
      <c r="AC49" s="261"/>
      <c r="AD49" s="234"/>
      <c r="AE49" s="234"/>
      <c r="AF49" s="234"/>
      <c r="AG49" s="234"/>
      <c r="AH49" s="234"/>
      <c r="AK49" s="212" t="b">
        <f t="shared" si="2"/>
        <v>0</v>
      </c>
      <c r="AL49" s="212" t="b">
        <f t="shared" si="3"/>
        <v>0</v>
      </c>
      <c r="AM49" s="212" t="str">
        <f>IF(D49="p1",AP49,"no")</f>
        <v>no</v>
      </c>
      <c r="AN49" s="212" t="str">
        <f>IF(D49="p2",AP49,"no")</f>
        <v>no</v>
      </c>
      <c r="AO49" s="213"/>
      <c r="AP49" s="212" t="e">
        <f>WEEKDAY(C49)</f>
        <v>#NUM!</v>
      </c>
      <c r="AQ49" s="292" t="str">
        <f t="shared" si="8"/>
        <v>M</v>
      </c>
      <c r="AR49" s="292" t="str">
        <f t="shared" si="8"/>
        <v>M</v>
      </c>
      <c r="AS49" s="292" t="str">
        <f t="shared" si="8"/>
        <v>M</v>
      </c>
      <c r="AT49" s="292" t="str">
        <f t="shared" si="8"/>
        <v>M</v>
      </c>
      <c r="AU49" s="292" t="str">
        <f t="shared" si="8"/>
        <v>M</v>
      </c>
      <c r="AV49" s="292" t="str">
        <f t="shared" si="8"/>
        <v>M</v>
      </c>
      <c r="AW49" s="292" t="str">
        <f t="shared" si="8"/>
        <v>M</v>
      </c>
      <c r="AX49" s="215"/>
      <c r="AY49" s="214">
        <f t="shared" si="9"/>
        <v>0</v>
      </c>
      <c r="AZ49" s="214">
        <f t="shared" si="9"/>
        <v>0</v>
      </c>
      <c r="BA49" s="214">
        <f t="shared" si="9"/>
        <v>0</v>
      </c>
      <c r="BB49" s="214">
        <f t="shared" si="9"/>
        <v>0</v>
      </c>
      <c r="BC49" s="214">
        <f t="shared" si="9"/>
        <v>0</v>
      </c>
      <c r="BD49" s="214">
        <f t="shared" si="9"/>
        <v>0</v>
      </c>
      <c r="BE49" s="214">
        <f t="shared" si="9"/>
        <v>0</v>
      </c>
      <c r="BH49" s="217" t="str">
        <f>IF(OR(E49="",F49="",G49=""),"M",1)</f>
        <v>M</v>
      </c>
      <c r="BI49" s="217" t="str">
        <f>IF(OR(H49="",I49="",J49=""),"M",1)</f>
        <v>M</v>
      </c>
      <c r="BJ49" s="217" t="str">
        <f>IF(OR(K49="",L49="",M49=""),"M",1)</f>
        <v>M</v>
      </c>
      <c r="BK49" s="217" t="str">
        <f>IF(OR(N49="",O49="",P49=""),"M",1)</f>
        <v>M</v>
      </c>
      <c r="BL49" s="217" t="str">
        <f>IF(OR(Q49="",R49="",S49=""),"M",1)</f>
        <v>M</v>
      </c>
      <c r="BM49" s="217">
        <f>IF(AND(BH49="M",BI49="M",BJ49="M",BK49="M",BL49="M",D49=""),0,1)</f>
        <v>0</v>
      </c>
      <c r="BN49" s="216"/>
      <c r="BO49" s="216"/>
      <c r="BP49" s="218"/>
    </row>
    <row r="50" spans="1:68" ht="17.25" customHeight="1">
      <c r="A50" s="296">
        <v>-49</v>
      </c>
      <c r="B50" s="297">
        <f t="shared" si="0"/>
        <v>-49</v>
      </c>
      <c r="C50" s="298">
        <f t="shared" si="0"/>
        <v>-49</v>
      </c>
      <c r="D50" s="242"/>
      <c r="E50" s="46"/>
      <c r="F50" s="47"/>
      <c r="G50" s="48"/>
      <c r="H50" s="46"/>
      <c r="I50" s="47"/>
      <c r="J50" s="48"/>
      <c r="K50" s="46"/>
      <c r="L50" s="47"/>
      <c r="M50" s="48"/>
      <c r="N50" s="46"/>
      <c r="O50" s="47"/>
      <c r="P50" s="48"/>
      <c r="Q50" s="46"/>
      <c r="R50" s="47"/>
      <c r="S50" s="94"/>
      <c r="T50" s="92" t="str">
        <f>IF(BM50=0,"M",IF(D50="p1",AK50,IF(D50="p2",AL50,IF(D50="A",0,((E50*F50)*G50/0.6)+((H50*I50)*J50/0.6)+((K50*L50)*M50/0.6)+((N50*O50)*P50/0.6)+((Q50*R50)*S50/0.6)))))</f>
        <v>M</v>
      </c>
      <c r="U50" s="264" t="str">
        <f>IF(T50=Calculator!T50,"VALID","ERROR")</f>
        <v>VALID</v>
      </c>
      <c r="V50" s="127"/>
      <c r="W50" s="305">
        <f t="shared" si="1"/>
        <v>0</v>
      </c>
      <c r="X50" s="209"/>
      <c r="Y50" s="209"/>
      <c r="Z50" s="209"/>
      <c r="AA50" s="209"/>
      <c r="AB50" s="257"/>
      <c r="AC50" s="261"/>
      <c r="AD50" s="234"/>
      <c r="AE50" s="234"/>
      <c r="AF50" s="234"/>
      <c r="AG50" s="234"/>
      <c r="AH50" s="234"/>
      <c r="AK50" s="212" t="b">
        <f t="shared" si="2"/>
        <v>0</v>
      </c>
      <c r="AL50" s="212" t="b">
        <f t="shared" si="3"/>
        <v>0</v>
      </c>
      <c r="AM50" s="212" t="str">
        <f>IF(D50="p1",AP50,"no")</f>
        <v>no</v>
      </c>
      <c r="AN50" s="212" t="str">
        <f>IF(D50="p2",AP50,"no")</f>
        <v>no</v>
      </c>
      <c r="AO50" s="213"/>
      <c r="AP50" s="212" t="e">
        <f>WEEKDAY(C50)</f>
        <v>#NUM!</v>
      </c>
      <c r="AQ50" s="292" t="str">
        <f t="shared" si="8"/>
        <v>M</v>
      </c>
      <c r="AR50" s="292" t="str">
        <f t="shared" si="8"/>
        <v>M</v>
      </c>
      <c r="AS50" s="292" t="str">
        <f t="shared" si="8"/>
        <v>M</v>
      </c>
      <c r="AT50" s="292" t="str">
        <f t="shared" si="8"/>
        <v>M</v>
      </c>
      <c r="AU50" s="292" t="str">
        <f t="shared" si="8"/>
        <v>M</v>
      </c>
      <c r="AV50" s="292" t="str">
        <f t="shared" si="8"/>
        <v>M</v>
      </c>
      <c r="AW50" s="292" t="str">
        <f t="shared" si="8"/>
        <v>M</v>
      </c>
      <c r="AX50" s="215"/>
      <c r="AY50" s="214">
        <f t="shared" si="9"/>
        <v>0</v>
      </c>
      <c r="AZ50" s="214">
        <f t="shared" si="9"/>
        <v>0</v>
      </c>
      <c r="BA50" s="214">
        <f t="shared" si="9"/>
        <v>0</v>
      </c>
      <c r="BB50" s="214">
        <f t="shared" si="9"/>
        <v>0</v>
      </c>
      <c r="BC50" s="214">
        <f t="shared" si="9"/>
        <v>0</v>
      </c>
      <c r="BD50" s="214">
        <f t="shared" si="9"/>
        <v>0</v>
      </c>
      <c r="BE50" s="214">
        <f t="shared" si="9"/>
        <v>0</v>
      </c>
      <c r="BH50" s="217" t="str">
        <f>IF(OR(E50="",F50="",G50=""),"M",1)</f>
        <v>M</v>
      </c>
      <c r="BI50" s="217" t="str">
        <f>IF(OR(H50="",I50="",J50=""),"M",1)</f>
        <v>M</v>
      </c>
      <c r="BJ50" s="217" t="str">
        <f>IF(OR(K50="",L50="",M50=""),"M",1)</f>
        <v>M</v>
      </c>
      <c r="BK50" s="217" t="str">
        <f>IF(OR(N50="",O50="",P50=""),"M",1)</f>
        <v>M</v>
      </c>
      <c r="BL50" s="217" t="str">
        <f>IF(OR(Q50="",R50="",S50=""),"M",1)</f>
        <v>M</v>
      </c>
      <c r="BM50" s="217">
        <f>IF(AND(BH50="M",BI50="M",BJ50="M",BK50="M",BL50="M",D50=""),0,1)</f>
        <v>0</v>
      </c>
      <c r="BN50" s="216"/>
      <c r="BO50" s="216"/>
      <c r="BP50" s="218"/>
    </row>
    <row r="51" spans="1:68" ht="17.25" customHeight="1">
      <c r="A51" s="296">
        <v>-48</v>
      </c>
      <c r="B51" s="297">
        <f t="shared" si="0"/>
        <v>-48</v>
      </c>
      <c r="C51" s="298">
        <f t="shared" si="0"/>
        <v>-48</v>
      </c>
      <c r="D51" s="241"/>
      <c r="E51" s="46"/>
      <c r="F51" s="47"/>
      <c r="G51" s="48"/>
      <c r="H51" s="46"/>
      <c r="I51" s="47"/>
      <c r="J51" s="48"/>
      <c r="K51" s="46"/>
      <c r="L51" s="47"/>
      <c r="M51" s="48"/>
      <c r="N51" s="46"/>
      <c r="O51" s="47"/>
      <c r="P51" s="48"/>
      <c r="Q51" s="46"/>
      <c r="R51" s="47"/>
      <c r="S51" s="94"/>
      <c r="T51" s="92" t="str">
        <f>IF(BM51=0,"M",IF(D51="p1",AK51,IF(D51="p2",AL51,IF(D51="A",0,((E51*F51)*G51/0.6)+((H51*I51)*J51/0.6)+((K51*L51)*M51/0.6)+((N51*O51)*P51/0.6)+((Q51*R51)*S51/0.6)))))</f>
        <v>M</v>
      </c>
      <c r="U51" s="264" t="str">
        <f>IF(T51=Calculator!T51,"VALID","ERROR")</f>
        <v>VALID</v>
      </c>
      <c r="V51" s="127"/>
      <c r="W51" s="305">
        <f t="shared" si="1"/>
        <v>0</v>
      </c>
      <c r="X51" s="209"/>
      <c r="Y51" s="209"/>
      <c r="Z51" s="209"/>
      <c r="AA51" s="209"/>
      <c r="AB51" s="257"/>
      <c r="AC51" s="261"/>
      <c r="AD51" s="234"/>
      <c r="AE51" s="234"/>
      <c r="AF51" s="234"/>
      <c r="AG51" s="234"/>
      <c r="AH51" s="234"/>
      <c r="AK51" s="212" t="b">
        <f t="shared" si="2"/>
        <v>0</v>
      </c>
      <c r="AL51" s="212" t="b">
        <f t="shared" si="3"/>
        <v>0</v>
      </c>
      <c r="AM51" s="212" t="str">
        <f>IF(D51="p1",AP51,"no")</f>
        <v>no</v>
      </c>
      <c r="AN51" s="212" t="str">
        <f>IF(D51="p2",AP51,"no")</f>
        <v>no</v>
      </c>
      <c r="AO51" s="213"/>
      <c r="AP51" s="212" t="e">
        <f>WEEKDAY(C51)</f>
        <v>#NUM!</v>
      </c>
      <c r="AQ51" s="292" t="str">
        <f t="shared" si="8"/>
        <v>M</v>
      </c>
      <c r="AR51" s="292" t="str">
        <f t="shared" si="8"/>
        <v>M</v>
      </c>
      <c r="AS51" s="292" t="str">
        <f t="shared" si="8"/>
        <v>M</v>
      </c>
      <c r="AT51" s="292" t="str">
        <f t="shared" si="8"/>
        <v>M</v>
      </c>
      <c r="AU51" s="292" t="str">
        <f t="shared" si="8"/>
        <v>M</v>
      </c>
      <c r="AV51" s="292" t="str">
        <f t="shared" si="8"/>
        <v>M</v>
      </c>
      <c r="AW51" s="292" t="str">
        <f t="shared" si="8"/>
        <v>M</v>
      </c>
      <c r="AX51" s="215"/>
      <c r="AY51" s="214">
        <f t="shared" si="9"/>
        <v>0</v>
      </c>
      <c r="AZ51" s="214">
        <f t="shared" si="9"/>
        <v>0</v>
      </c>
      <c r="BA51" s="214">
        <f t="shared" si="9"/>
        <v>0</v>
      </c>
      <c r="BB51" s="214">
        <f t="shared" si="9"/>
        <v>0</v>
      </c>
      <c r="BC51" s="214">
        <f t="shared" si="9"/>
        <v>0</v>
      </c>
      <c r="BD51" s="214">
        <f t="shared" si="9"/>
        <v>0</v>
      </c>
      <c r="BE51" s="214">
        <f t="shared" si="9"/>
        <v>0</v>
      </c>
      <c r="BH51" s="217" t="str">
        <f>IF(OR(E51="",F51="",G51=""),"M",1)</f>
        <v>M</v>
      </c>
      <c r="BI51" s="217" t="str">
        <f>IF(OR(H51="",I51="",J51=""),"M",1)</f>
        <v>M</v>
      </c>
      <c r="BJ51" s="217" t="str">
        <f>IF(OR(K51="",L51="",M51=""),"M",1)</f>
        <v>M</v>
      </c>
      <c r="BK51" s="217" t="str">
        <f>IF(OR(N51="",O51="",P51=""),"M",1)</f>
        <v>M</v>
      </c>
      <c r="BL51" s="217" t="str">
        <f>IF(OR(Q51="",R51="",S51=""),"M",1)</f>
        <v>M</v>
      </c>
      <c r="BM51" s="217">
        <f>IF(AND(BH51="M",BI51="M",BJ51="M",BK51="M",BL51="M",D51=""),0,1)</f>
        <v>0</v>
      </c>
      <c r="BN51" s="216"/>
      <c r="BO51" s="216"/>
      <c r="BP51" s="218"/>
    </row>
    <row r="52" spans="1:68" ht="17.25" customHeight="1">
      <c r="A52" s="296">
        <v>-47</v>
      </c>
      <c r="B52" s="297">
        <f t="shared" si="0"/>
        <v>-47</v>
      </c>
      <c r="C52" s="298">
        <f t="shared" si="0"/>
        <v>-47</v>
      </c>
      <c r="D52" s="242"/>
      <c r="E52" s="46"/>
      <c r="F52" s="47"/>
      <c r="G52" s="48"/>
      <c r="H52" s="46"/>
      <c r="I52" s="47"/>
      <c r="J52" s="48"/>
      <c r="K52" s="46"/>
      <c r="L52" s="47"/>
      <c r="M52" s="48"/>
      <c r="N52" s="46"/>
      <c r="O52" s="47"/>
      <c r="P52" s="48"/>
      <c r="Q52" s="46"/>
      <c r="R52" s="47"/>
      <c r="S52" s="94"/>
      <c r="T52" s="92" t="str">
        <f>IF(BM52=0,"M",IF(D52="p1",AK52,IF(D52="p2",AL52,IF(D52="A",0,((E52*F52)*G52/0.6)+((H52*I52)*J52/0.6)+((K52*L52)*M52/0.6)+((N52*O52)*P52/0.6)+((Q52*R52)*S52/0.6)))))</f>
        <v>M</v>
      </c>
      <c r="U52" s="264" t="str">
        <f>IF(T52=Calculator!T52,"VALID","ERROR")</f>
        <v>VALID</v>
      </c>
      <c r="V52" s="127"/>
      <c r="W52" s="305">
        <f t="shared" si="1"/>
        <v>0</v>
      </c>
      <c r="X52" s="209"/>
      <c r="Y52" s="209"/>
      <c r="Z52" s="209"/>
      <c r="AA52" s="209"/>
      <c r="AB52" s="257"/>
      <c r="AC52" s="261"/>
      <c r="AD52" s="234"/>
      <c r="AE52" s="234"/>
      <c r="AF52" s="234"/>
      <c r="AG52" s="234"/>
      <c r="AH52" s="234"/>
      <c r="AK52" s="212" t="b">
        <f t="shared" si="2"/>
        <v>0</v>
      </c>
      <c r="AL52" s="212" t="b">
        <f t="shared" si="3"/>
        <v>0</v>
      </c>
      <c r="AM52" s="212" t="str">
        <f>IF(D52="p1",AP52,"no")</f>
        <v>no</v>
      </c>
      <c r="AN52" s="212" t="str">
        <f>IF(D52="p2",AP52,"no")</f>
        <v>no</v>
      </c>
      <c r="AO52" s="213"/>
      <c r="AP52" s="212" t="e">
        <f>WEEKDAY(C52)</f>
        <v>#NUM!</v>
      </c>
      <c r="AQ52" s="292" t="str">
        <f t="shared" si="8"/>
        <v>M</v>
      </c>
      <c r="AR52" s="292" t="str">
        <f t="shared" si="8"/>
        <v>M</v>
      </c>
      <c r="AS52" s="292" t="str">
        <f t="shared" si="8"/>
        <v>M</v>
      </c>
      <c r="AT52" s="292" t="str">
        <f t="shared" si="8"/>
        <v>M</v>
      </c>
      <c r="AU52" s="292" t="str">
        <f t="shared" si="8"/>
        <v>M</v>
      </c>
      <c r="AV52" s="292" t="str">
        <f t="shared" si="8"/>
        <v>M</v>
      </c>
      <c r="AW52" s="292" t="str">
        <f t="shared" si="8"/>
        <v>M</v>
      </c>
      <c r="AX52" s="215"/>
      <c r="AY52" s="214">
        <f t="shared" si="9"/>
        <v>0</v>
      </c>
      <c r="AZ52" s="214">
        <f t="shared" si="9"/>
        <v>0</v>
      </c>
      <c r="BA52" s="214">
        <f t="shared" si="9"/>
        <v>0</v>
      </c>
      <c r="BB52" s="214">
        <f t="shared" si="9"/>
        <v>0</v>
      </c>
      <c r="BC52" s="214">
        <f t="shared" si="9"/>
        <v>0</v>
      </c>
      <c r="BD52" s="214">
        <f t="shared" si="9"/>
        <v>0</v>
      </c>
      <c r="BE52" s="214">
        <f t="shared" si="9"/>
        <v>0</v>
      </c>
      <c r="BH52" s="217" t="str">
        <f>IF(OR(E52="",F52="",G52=""),"M",1)</f>
        <v>M</v>
      </c>
      <c r="BI52" s="217" t="str">
        <f>IF(OR(H52="",I52="",J52=""),"M",1)</f>
        <v>M</v>
      </c>
      <c r="BJ52" s="217" t="str">
        <f>IF(OR(K52="",L52="",M52=""),"M",1)</f>
        <v>M</v>
      </c>
      <c r="BK52" s="217" t="str">
        <f>IF(OR(N52="",O52="",P52=""),"M",1)</f>
        <v>M</v>
      </c>
      <c r="BL52" s="217" t="str">
        <f>IF(OR(Q52="",R52="",S52=""),"M",1)</f>
        <v>M</v>
      </c>
      <c r="BM52" s="217">
        <f>IF(AND(BH52="M",BI52="M",BJ52="M",BK52="M",BL52="M",D52=""),0,1)</f>
        <v>0</v>
      </c>
      <c r="BN52" s="216"/>
      <c r="BO52" s="216"/>
      <c r="BP52" s="218"/>
    </row>
    <row r="53" spans="1:68" ht="17.25" customHeight="1">
      <c r="A53" s="296">
        <v>-46</v>
      </c>
      <c r="B53" s="297">
        <f t="shared" si="0"/>
        <v>-46</v>
      </c>
      <c r="C53" s="298">
        <f t="shared" si="0"/>
        <v>-46</v>
      </c>
      <c r="D53" s="241"/>
      <c r="E53" s="46"/>
      <c r="F53" s="47"/>
      <c r="G53" s="48"/>
      <c r="H53" s="46"/>
      <c r="I53" s="47"/>
      <c r="J53" s="48"/>
      <c r="K53" s="46"/>
      <c r="L53" s="47"/>
      <c r="M53" s="48"/>
      <c r="N53" s="46"/>
      <c r="O53" s="47"/>
      <c r="P53" s="48"/>
      <c r="Q53" s="46"/>
      <c r="R53" s="47"/>
      <c r="S53" s="94"/>
      <c r="T53" s="92" t="str">
        <f>IF(BM53=0,"M",IF(D53="p1",AK53,IF(D53="p2",AL53,IF(D53="A",0,((E53*F53)*G53/0.6)+((H53*I53)*J53/0.6)+((K53*L53)*M53/0.6)+((N53*O53)*P53/0.6)+((Q53*R53)*S53/0.6)))))</f>
        <v>M</v>
      </c>
      <c r="U53" s="264" t="str">
        <f>IF(T53=Calculator!T53,"VALID","ERROR")</f>
        <v>VALID</v>
      </c>
      <c r="V53" s="127"/>
      <c r="W53" s="305">
        <f t="shared" si="1"/>
        <v>0</v>
      </c>
      <c r="X53" s="209"/>
      <c r="Y53" s="209"/>
      <c r="Z53" s="209"/>
      <c r="AA53" s="209"/>
      <c r="AB53" s="257"/>
      <c r="AC53" s="261"/>
      <c r="AD53" s="234"/>
      <c r="AE53" s="234"/>
      <c r="AF53" s="234"/>
      <c r="AG53" s="234"/>
      <c r="AH53" s="234"/>
      <c r="AK53" s="212" t="b">
        <f t="shared" si="2"/>
        <v>0</v>
      </c>
      <c r="AL53" s="212" t="b">
        <f t="shared" si="3"/>
        <v>0</v>
      </c>
      <c r="AM53" s="212" t="str">
        <f>IF(D53="p1",AP53,"no")</f>
        <v>no</v>
      </c>
      <c r="AN53" s="212" t="str">
        <f>IF(D53="p2",AP53,"no")</f>
        <v>no</v>
      </c>
      <c r="AO53" s="213"/>
      <c r="AP53" s="212" t="e">
        <f>WEEKDAY(C53)</f>
        <v>#NUM!</v>
      </c>
      <c r="AQ53" s="292" t="str">
        <f t="shared" si="8"/>
        <v>M</v>
      </c>
      <c r="AR53" s="292" t="str">
        <f t="shared" si="8"/>
        <v>M</v>
      </c>
      <c r="AS53" s="292" t="str">
        <f t="shared" si="8"/>
        <v>M</v>
      </c>
      <c r="AT53" s="292" t="str">
        <f t="shared" si="8"/>
        <v>M</v>
      </c>
      <c r="AU53" s="292" t="str">
        <f t="shared" si="8"/>
        <v>M</v>
      </c>
      <c r="AV53" s="292" t="str">
        <f t="shared" si="8"/>
        <v>M</v>
      </c>
      <c r="AW53" s="292" t="str">
        <f t="shared" si="8"/>
        <v>M</v>
      </c>
      <c r="AX53" s="215"/>
      <c r="AY53" s="214">
        <f t="shared" si="9"/>
        <v>0</v>
      </c>
      <c r="AZ53" s="214">
        <f t="shared" si="9"/>
        <v>0</v>
      </c>
      <c r="BA53" s="214">
        <f t="shared" si="9"/>
        <v>0</v>
      </c>
      <c r="BB53" s="214">
        <f t="shared" si="9"/>
        <v>0</v>
      </c>
      <c r="BC53" s="214">
        <f t="shared" si="9"/>
        <v>0</v>
      </c>
      <c r="BD53" s="214">
        <f t="shared" si="9"/>
        <v>0</v>
      </c>
      <c r="BE53" s="214">
        <f t="shared" si="9"/>
        <v>0</v>
      </c>
      <c r="BH53" s="217" t="str">
        <f>IF(OR(E53="",F53="",G53=""),"M",1)</f>
        <v>M</v>
      </c>
      <c r="BI53" s="217" t="str">
        <f>IF(OR(H53="",I53="",J53=""),"M",1)</f>
        <v>M</v>
      </c>
      <c r="BJ53" s="217" t="str">
        <f>IF(OR(K53="",L53="",M53=""),"M",1)</f>
        <v>M</v>
      </c>
      <c r="BK53" s="217" t="str">
        <f>IF(OR(N53="",O53="",P53=""),"M",1)</f>
        <v>M</v>
      </c>
      <c r="BL53" s="217" t="str">
        <f>IF(OR(Q53="",R53="",S53=""),"M",1)</f>
        <v>M</v>
      </c>
      <c r="BM53" s="217">
        <f>IF(AND(BH53="M",BI53="M",BJ53="M",BK53="M",BL53="M",D53=""),0,1)</f>
        <v>0</v>
      </c>
      <c r="BN53" s="216"/>
      <c r="BO53" s="216"/>
      <c r="BP53" s="218"/>
    </row>
    <row r="54" spans="1:68" ht="17.25" customHeight="1">
      <c r="A54" s="296">
        <v>-45</v>
      </c>
      <c r="B54" s="297">
        <f t="shared" si="0"/>
        <v>-45</v>
      </c>
      <c r="C54" s="298">
        <f t="shared" si="0"/>
        <v>-45</v>
      </c>
      <c r="D54" s="242"/>
      <c r="E54" s="46"/>
      <c r="F54" s="47"/>
      <c r="G54" s="48"/>
      <c r="H54" s="46"/>
      <c r="I54" s="47"/>
      <c r="J54" s="48"/>
      <c r="K54" s="46"/>
      <c r="L54" s="47"/>
      <c r="M54" s="48"/>
      <c r="N54" s="46"/>
      <c r="O54" s="47"/>
      <c r="P54" s="48"/>
      <c r="Q54" s="46"/>
      <c r="R54" s="47"/>
      <c r="S54" s="94"/>
      <c r="T54" s="92" t="str">
        <f>IF(BM54=0,"M",IF(D54="p1",AK54,IF(D54="p2",AL54,IF(D54="A",0,((E54*F54)*G54/0.6)+((H54*I54)*J54/0.6)+((K54*L54)*M54/0.6)+((N54*O54)*P54/0.6)+((Q54*R54)*S54/0.6)))))</f>
        <v>M</v>
      </c>
      <c r="U54" s="264" t="str">
        <f>IF(T54=Calculator!T54,"VALID","ERROR")</f>
        <v>VALID</v>
      </c>
      <c r="V54" s="127"/>
      <c r="W54" s="305">
        <f t="shared" si="1"/>
        <v>0</v>
      </c>
      <c r="X54" s="209"/>
      <c r="Y54" s="209"/>
      <c r="Z54" s="209"/>
      <c r="AA54" s="209"/>
      <c r="AB54" s="257"/>
      <c r="AC54" s="261"/>
      <c r="AD54" s="234"/>
      <c r="AE54" s="234"/>
      <c r="AF54" s="234"/>
      <c r="AG54" s="234"/>
      <c r="AH54" s="234"/>
      <c r="AK54" s="212" t="b">
        <f t="shared" si="2"/>
        <v>0</v>
      </c>
      <c r="AL54" s="212" t="b">
        <f t="shared" si="3"/>
        <v>0</v>
      </c>
      <c r="AM54" s="212" t="str">
        <f>IF(D54="p1",AP54,"no")</f>
        <v>no</v>
      </c>
      <c r="AN54" s="212" t="str">
        <f>IF(D54="p2",AP54,"no")</f>
        <v>no</v>
      </c>
      <c r="AO54" s="213"/>
      <c r="AP54" s="212" t="e">
        <f>WEEKDAY(C54)</f>
        <v>#NUM!</v>
      </c>
      <c r="AQ54" s="292" t="str">
        <f t="shared" si="8"/>
        <v>M</v>
      </c>
      <c r="AR54" s="292" t="str">
        <f t="shared" si="8"/>
        <v>M</v>
      </c>
      <c r="AS54" s="292" t="str">
        <f t="shared" si="8"/>
        <v>M</v>
      </c>
      <c r="AT54" s="292" t="str">
        <f t="shared" si="8"/>
        <v>M</v>
      </c>
      <c r="AU54" s="292" t="str">
        <f t="shared" si="8"/>
        <v>M</v>
      </c>
      <c r="AV54" s="292" t="str">
        <f t="shared" si="8"/>
        <v>M</v>
      </c>
      <c r="AW54" s="292" t="str">
        <f t="shared" si="8"/>
        <v>M</v>
      </c>
      <c r="AX54" s="215"/>
      <c r="AY54" s="214">
        <f t="shared" si="9"/>
        <v>0</v>
      </c>
      <c r="AZ54" s="214">
        <f t="shared" si="9"/>
        <v>0</v>
      </c>
      <c r="BA54" s="214">
        <f t="shared" si="9"/>
        <v>0</v>
      </c>
      <c r="BB54" s="214">
        <f t="shared" si="9"/>
        <v>0</v>
      </c>
      <c r="BC54" s="214">
        <f t="shared" si="9"/>
        <v>0</v>
      </c>
      <c r="BD54" s="214">
        <f t="shared" si="9"/>
        <v>0</v>
      </c>
      <c r="BE54" s="214">
        <f t="shared" si="9"/>
        <v>0</v>
      </c>
      <c r="BH54" s="217" t="str">
        <f>IF(OR(E54="",F54="",G54=""),"M",1)</f>
        <v>M</v>
      </c>
      <c r="BI54" s="217" t="str">
        <f>IF(OR(H54="",I54="",J54=""),"M",1)</f>
        <v>M</v>
      </c>
      <c r="BJ54" s="217" t="str">
        <f>IF(OR(K54="",L54="",M54=""),"M",1)</f>
        <v>M</v>
      </c>
      <c r="BK54" s="217" t="str">
        <f>IF(OR(N54="",O54="",P54=""),"M",1)</f>
        <v>M</v>
      </c>
      <c r="BL54" s="217" t="str">
        <f>IF(OR(Q54="",R54="",S54=""),"M",1)</f>
        <v>M</v>
      </c>
      <c r="BM54" s="217">
        <f>IF(AND(BH54="M",BI54="M",BJ54="M",BK54="M",BL54="M",D54=""),0,1)</f>
        <v>0</v>
      </c>
      <c r="BN54" s="216"/>
      <c r="BO54" s="216"/>
      <c r="BP54" s="218"/>
    </row>
    <row r="55" spans="1:68" ht="17.25" customHeight="1">
      <c r="A55" s="296">
        <v>-44</v>
      </c>
      <c r="B55" s="297">
        <f t="shared" si="0"/>
        <v>-44</v>
      </c>
      <c r="C55" s="298">
        <f t="shared" si="0"/>
        <v>-44</v>
      </c>
      <c r="D55" s="241"/>
      <c r="E55" s="46"/>
      <c r="F55" s="47"/>
      <c r="G55" s="48"/>
      <c r="H55" s="46"/>
      <c r="I55" s="47"/>
      <c r="J55" s="48"/>
      <c r="K55" s="46"/>
      <c r="L55" s="47"/>
      <c r="M55" s="48"/>
      <c r="N55" s="46"/>
      <c r="O55" s="47"/>
      <c r="P55" s="48"/>
      <c r="Q55" s="46"/>
      <c r="R55" s="47"/>
      <c r="S55" s="94"/>
      <c r="T55" s="92" t="str">
        <f>IF(BM55=0,"M",IF(D55="p1",AK55,IF(D55="p2",AL55,IF(D55="A",0,((E55*F55)*G55/0.6)+((H55*I55)*J55/0.6)+((K55*L55)*M55/0.6)+((N55*O55)*P55/0.6)+((Q55*R55)*S55/0.6)))))</f>
        <v>M</v>
      </c>
      <c r="U55" s="264" t="str">
        <f>IF(T55=Calculator!T55,"VALID","ERROR")</f>
        <v>VALID</v>
      </c>
      <c r="V55" s="127"/>
      <c r="W55" s="305">
        <f t="shared" si="1"/>
        <v>0</v>
      </c>
      <c r="X55" s="209"/>
      <c r="Y55" s="209"/>
      <c r="Z55" s="209"/>
      <c r="AA55" s="209"/>
      <c r="AB55" s="257"/>
      <c r="AC55" s="261"/>
      <c r="AD55" s="234"/>
      <c r="AE55" s="234"/>
      <c r="AF55" s="234"/>
      <c r="AG55" s="234"/>
      <c r="AH55" s="234"/>
      <c r="AK55" s="212" t="b">
        <f t="shared" si="2"/>
        <v>0</v>
      </c>
      <c r="AL55" s="212" t="b">
        <f t="shared" si="3"/>
        <v>0</v>
      </c>
      <c r="AM55" s="212" t="str">
        <f>IF(D55="p1",AP55,"no")</f>
        <v>no</v>
      </c>
      <c r="AN55" s="212" t="str">
        <f>IF(D55="p2",AP55,"no")</f>
        <v>no</v>
      </c>
      <c r="AO55" s="213"/>
      <c r="AP55" s="212" t="e">
        <f>WEEKDAY(C55)</f>
        <v>#NUM!</v>
      </c>
      <c r="AQ55" s="292" t="str">
        <f t="shared" si="8"/>
        <v>M</v>
      </c>
      <c r="AR55" s="292" t="str">
        <f t="shared" si="8"/>
        <v>M</v>
      </c>
      <c r="AS55" s="292" t="str">
        <f t="shared" si="8"/>
        <v>M</v>
      </c>
      <c r="AT55" s="292" t="str">
        <f t="shared" si="8"/>
        <v>M</v>
      </c>
      <c r="AU55" s="292" t="str">
        <f t="shared" si="8"/>
        <v>M</v>
      </c>
      <c r="AV55" s="292" t="str">
        <f t="shared" si="8"/>
        <v>M</v>
      </c>
      <c r="AW55" s="292" t="str">
        <f t="shared" si="8"/>
        <v>M</v>
      </c>
      <c r="AX55" s="215"/>
      <c r="AY55" s="214">
        <f t="shared" si="9"/>
        <v>0</v>
      </c>
      <c r="AZ55" s="214">
        <f t="shared" si="9"/>
        <v>0</v>
      </c>
      <c r="BA55" s="214">
        <f t="shared" si="9"/>
        <v>0</v>
      </c>
      <c r="BB55" s="214">
        <f t="shared" si="9"/>
        <v>0</v>
      </c>
      <c r="BC55" s="214">
        <f t="shared" si="9"/>
        <v>0</v>
      </c>
      <c r="BD55" s="214">
        <f t="shared" si="9"/>
        <v>0</v>
      </c>
      <c r="BE55" s="214">
        <f t="shared" si="9"/>
        <v>0</v>
      </c>
      <c r="BH55" s="217" t="str">
        <f>IF(OR(E55="",F55="",G55=""),"M",1)</f>
        <v>M</v>
      </c>
      <c r="BI55" s="217" t="str">
        <f>IF(OR(H55="",I55="",J55=""),"M",1)</f>
        <v>M</v>
      </c>
      <c r="BJ55" s="217" t="str">
        <f>IF(OR(K55="",L55="",M55=""),"M",1)</f>
        <v>M</v>
      </c>
      <c r="BK55" s="217" t="str">
        <f>IF(OR(N55="",O55="",P55=""),"M",1)</f>
        <v>M</v>
      </c>
      <c r="BL55" s="217" t="str">
        <f>IF(OR(Q55="",R55="",S55=""),"M",1)</f>
        <v>M</v>
      </c>
      <c r="BM55" s="217">
        <f>IF(AND(BH55="M",BI55="M",BJ55="M",BK55="M",BL55="M",D55=""),0,1)</f>
        <v>0</v>
      </c>
      <c r="BN55" s="216"/>
      <c r="BO55" s="216"/>
      <c r="BP55" s="218"/>
    </row>
    <row r="56" spans="1:68" ht="17.25" customHeight="1">
      <c r="A56" s="296">
        <v>-43</v>
      </c>
      <c r="B56" s="297">
        <f t="shared" si="0"/>
        <v>-43</v>
      </c>
      <c r="C56" s="298">
        <f t="shared" si="0"/>
        <v>-43</v>
      </c>
      <c r="D56" s="242"/>
      <c r="E56" s="46"/>
      <c r="F56" s="47"/>
      <c r="G56" s="48"/>
      <c r="H56" s="46"/>
      <c r="I56" s="47"/>
      <c r="J56" s="48"/>
      <c r="K56" s="46"/>
      <c r="L56" s="47"/>
      <c r="M56" s="48"/>
      <c r="N56" s="46"/>
      <c r="O56" s="47"/>
      <c r="P56" s="48"/>
      <c r="Q56" s="46"/>
      <c r="R56" s="47"/>
      <c r="S56" s="94"/>
      <c r="T56" s="92" t="str">
        <f>IF(BM56=0,"M",IF(D56="p1",AK56,IF(D56="p2",AL56,IF(D56="A",0,((E56*F56)*G56/0.6)+((H56*I56)*J56/0.6)+((K56*L56)*M56/0.6)+((N56*O56)*P56/0.6)+((Q56*R56)*S56/0.6)))))</f>
        <v>M</v>
      </c>
      <c r="U56" s="264" t="str">
        <f>IF(T56=Calculator!T56,"VALID","ERROR")</f>
        <v>VALID</v>
      </c>
      <c r="V56" s="127"/>
      <c r="W56" s="305">
        <f t="shared" si="1"/>
        <v>0</v>
      </c>
      <c r="X56" s="209"/>
      <c r="Y56" s="209"/>
      <c r="Z56" s="209"/>
      <c r="AA56" s="209"/>
      <c r="AB56" s="257"/>
      <c r="AC56" s="261"/>
      <c r="AD56" s="234"/>
      <c r="AE56" s="234"/>
      <c r="AF56" s="234"/>
      <c r="AG56" s="234"/>
      <c r="AH56" s="234"/>
      <c r="AK56" s="212" t="b">
        <f t="shared" si="2"/>
        <v>0</v>
      </c>
      <c r="AL56" s="212" t="b">
        <f t="shared" si="3"/>
        <v>0</v>
      </c>
      <c r="AM56" s="212" t="str">
        <f>IF(D56="p1",AP56,"no")</f>
        <v>no</v>
      </c>
      <c r="AN56" s="212" t="str">
        <f>IF(D56="p2",AP56,"no")</f>
        <v>no</v>
      </c>
      <c r="AO56" s="213"/>
      <c r="AP56" s="212" t="e">
        <f>WEEKDAY(C56)</f>
        <v>#NUM!</v>
      </c>
      <c r="AQ56" s="292" t="str">
        <f t="shared" si="8"/>
        <v>M</v>
      </c>
      <c r="AR56" s="292" t="str">
        <f t="shared" si="8"/>
        <v>M</v>
      </c>
      <c r="AS56" s="292" t="str">
        <f t="shared" si="8"/>
        <v>M</v>
      </c>
      <c r="AT56" s="292" t="str">
        <f t="shared" si="8"/>
        <v>M</v>
      </c>
      <c r="AU56" s="292" t="str">
        <f t="shared" si="8"/>
        <v>M</v>
      </c>
      <c r="AV56" s="292" t="str">
        <f t="shared" si="8"/>
        <v>M</v>
      </c>
      <c r="AW56" s="292" t="str">
        <f t="shared" si="8"/>
        <v>M</v>
      </c>
      <c r="AX56" s="215"/>
      <c r="AY56" s="214">
        <f t="shared" si="9"/>
        <v>0</v>
      </c>
      <c r="AZ56" s="214">
        <f t="shared" si="9"/>
        <v>0</v>
      </c>
      <c r="BA56" s="214">
        <f t="shared" si="9"/>
        <v>0</v>
      </c>
      <c r="BB56" s="214">
        <f t="shared" si="9"/>
        <v>0</v>
      </c>
      <c r="BC56" s="214">
        <f t="shared" si="9"/>
        <v>0</v>
      </c>
      <c r="BD56" s="214">
        <f t="shared" si="9"/>
        <v>0</v>
      </c>
      <c r="BE56" s="214">
        <f t="shared" si="9"/>
        <v>0</v>
      </c>
      <c r="BH56" s="217" t="str">
        <f>IF(OR(E56="",F56="",G56=""),"M",1)</f>
        <v>M</v>
      </c>
      <c r="BI56" s="217" t="str">
        <f>IF(OR(H56="",I56="",J56=""),"M",1)</f>
        <v>M</v>
      </c>
      <c r="BJ56" s="217" t="str">
        <f>IF(OR(K56="",L56="",M56=""),"M",1)</f>
        <v>M</v>
      </c>
      <c r="BK56" s="217" t="str">
        <f>IF(OR(N56="",O56="",P56=""),"M",1)</f>
        <v>M</v>
      </c>
      <c r="BL56" s="217" t="str">
        <f>IF(OR(Q56="",R56="",S56=""),"M",1)</f>
        <v>M</v>
      </c>
      <c r="BM56" s="217">
        <f>IF(AND(BH56="M",BI56="M",BJ56="M",BK56="M",BL56="M",D56=""),0,1)</f>
        <v>0</v>
      </c>
      <c r="BN56" s="216"/>
      <c r="BO56" s="216"/>
      <c r="BP56" s="218"/>
    </row>
    <row r="57" spans="1:68" ht="17.25" customHeight="1">
      <c r="A57" s="296">
        <v>-42</v>
      </c>
      <c r="B57" s="297">
        <f t="shared" si="0"/>
        <v>-42</v>
      </c>
      <c r="C57" s="298">
        <f t="shared" si="0"/>
        <v>-42</v>
      </c>
      <c r="D57" s="241"/>
      <c r="E57" s="46"/>
      <c r="F57" s="47"/>
      <c r="G57" s="48"/>
      <c r="H57" s="46"/>
      <c r="I57" s="47"/>
      <c r="J57" s="48"/>
      <c r="K57" s="46"/>
      <c r="L57" s="47"/>
      <c r="M57" s="48"/>
      <c r="N57" s="46"/>
      <c r="O57" s="47"/>
      <c r="P57" s="48"/>
      <c r="Q57" s="46"/>
      <c r="R57" s="47"/>
      <c r="S57" s="94"/>
      <c r="T57" s="92" t="str">
        <f>IF(BM57=0,"M",IF(D57="p1",AK57,IF(D57="p2",AL57,IF(D57="A",0,((E57*F57)*G57/0.6)+((H57*I57)*J57/0.6)+((K57*L57)*M57/0.6)+((N57*O57)*P57/0.6)+((Q57*R57)*S57/0.6)))))</f>
        <v>M</v>
      </c>
      <c r="U57" s="264" t="str">
        <f>IF(T57=Calculator!T57,"VALID","ERROR")</f>
        <v>VALID</v>
      </c>
      <c r="V57" s="127"/>
      <c r="W57" s="305">
        <f t="shared" si="1"/>
        <v>0</v>
      </c>
      <c r="X57" s="209"/>
      <c r="Y57" s="209"/>
      <c r="Z57" s="209"/>
      <c r="AA57" s="209"/>
      <c r="AB57" s="257"/>
      <c r="AC57" s="261"/>
      <c r="AD57" s="234"/>
      <c r="AE57" s="234"/>
      <c r="AF57" s="234"/>
      <c r="AG57" s="234"/>
      <c r="AH57" s="234"/>
      <c r="AK57" s="212" t="b">
        <f t="shared" si="2"/>
        <v>0</v>
      </c>
      <c r="AL57" s="212" t="b">
        <f t="shared" si="3"/>
        <v>0</v>
      </c>
      <c r="AM57" s="212" t="str">
        <f>IF(D57="p1",AP57,"no")</f>
        <v>no</v>
      </c>
      <c r="AN57" s="212" t="str">
        <f>IF(D57="p2",AP57,"no")</f>
        <v>no</v>
      </c>
      <c r="AO57" s="213"/>
      <c r="AP57" s="212" t="e">
        <f>WEEKDAY(C57)</f>
        <v>#NUM!</v>
      </c>
      <c r="AQ57" s="292" t="str">
        <f t="shared" si="8"/>
        <v>M</v>
      </c>
      <c r="AR57" s="292" t="str">
        <f t="shared" si="8"/>
        <v>M</v>
      </c>
      <c r="AS57" s="292" t="str">
        <f t="shared" si="8"/>
        <v>M</v>
      </c>
      <c r="AT57" s="292" t="str">
        <f t="shared" si="8"/>
        <v>M</v>
      </c>
      <c r="AU57" s="292" t="str">
        <f t="shared" si="8"/>
        <v>M</v>
      </c>
      <c r="AV57" s="292" t="str">
        <f t="shared" si="8"/>
        <v>M</v>
      </c>
      <c r="AW57" s="292" t="str">
        <f t="shared" si="8"/>
        <v>M</v>
      </c>
      <c r="AX57" s="215"/>
      <c r="AY57" s="214">
        <f t="shared" si="9"/>
        <v>0</v>
      </c>
      <c r="AZ57" s="214">
        <f t="shared" si="9"/>
        <v>0</v>
      </c>
      <c r="BA57" s="214">
        <f t="shared" si="9"/>
        <v>0</v>
      </c>
      <c r="BB57" s="214">
        <f t="shared" si="9"/>
        <v>0</v>
      </c>
      <c r="BC57" s="214">
        <f t="shared" si="9"/>
        <v>0</v>
      </c>
      <c r="BD57" s="214">
        <f t="shared" si="9"/>
        <v>0</v>
      </c>
      <c r="BE57" s="214">
        <f t="shared" si="9"/>
        <v>0</v>
      </c>
      <c r="BH57" s="217" t="str">
        <f>IF(OR(E57="",F57="",G57=""),"M",1)</f>
        <v>M</v>
      </c>
      <c r="BI57" s="217" t="str">
        <f>IF(OR(H57="",I57="",J57=""),"M",1)</f>
        <v>M</v>
      </c>
      <c r="BJ57" s="217" t="str">
        <f>IF(OR(K57="",L57="",M57=""),"M",1)</f>
        <v>M</v>
      </c>
      <c r="BK57" s="217" t="str">
        <f>IF(OR(N57="",O57="",P57=""),"M",1)</f>
        <v>M</v>
      </c>
      <c r="BL57" s="217" t="str">
        <f>IF(OR(Q57="",R57="",S57=""),"M",1)</f>
        <v>M</v>
      </c>
      <c r="BM57" s="217">
        <f>IF(AND(BH57="M",BI57="M",BJ57="M",BK57="M",BL57="M",D57=""),0,1)</f>
        <v>0</v>
      </c>
      <c r="BN57" s="216"/>
      <c r="BO57" s="216"/>
      <c r="BP57" s="218"/>
    </row>
    <row r="58" spans="1:68" ht="17.25" customHeight="1">
      <c r="A58" s="296">
        <v>-41</v>
      </c>
      <c r="B58" s="297">
        <f t="shared" si="0"/>
        <v>-41</v>
      </c>
      <c r="C58" s="298">
        <f t="shared" si="0"/>
        <v>-41</v>
      </c>
      <c r="D58" s="242"/>
      <c r="E58" s="46"/>
      <c r="F58" s="47"/>
      <c r="G58" s="48"/>
      <c r="H58" s="46"/>
      <c r="I58" s="47"/>
      <c r="J58" s="48"/>
      <c r="K58" s="46"/>
      <c r="L58" s="47"/>
      <c r="M58" s="48"/>
      <c r="N58" s="46"/>
      <c r="O58" s="47"/>
      <c r="P58" s="48"/>
      <c r="Q58" s="46"/>
      <c r="R58" s="47"/>
      <c r="S58" s="94"/>
      <c r="T58" s="92" t="str">
        <f>IF(BM58=0,"M",IF(D58="p1",AK58,IF(D58="p2",AL58,IF(D58="A",0,((E58*F58)*G58/0.6)+((H58*I58)*J58/0.6)+((K58*L58)*M58/0.6)+((N58*O58)*P58/0.6)+((Q58*R58)*S58/0.6)))))</f>
        <v>M</v>
      </c>
      <c r="U58" s="264" t="str">
        <f>IF(T58=Calculator!T58,"VALID","ERROR")</f>
        <v>VALID</v>
      </c>
      <c r="V58" s="127"/>
      <c r="W58" s="305">
        <f t="shared" si="1"/>
        <v>0</v>
      </c>
      <c r="X58" s="209"/>
      <c r="Y58" s="209"/>
      <c r="Z58" s="209"/>
      <c r="AA58" s="209"/>
      <c r="AB58" s="257"/>
      <c r="AC58" s="261"/>
      <c r="AD58" s="234"/>
      <c r="AE58" s="234"/>
      <c r="AF58" s="234"/>
      <c r="AG58" s="234"/>
      <c r="AH58" s="234"/>
      <c r="AK58" s="212" t="b">
        <f t="shared" si="2"/>
        <v>0</v>
      </c>
      <c r="AL58" s="212" t="b">
        <f t="shared" si="3"/>
        <v>0</v>
      </c>
      <c r="AM58" s="212" t="str">
        <f>IF(D58="p1",AP58,"no")</f>
        <v>no</v>
      </c>
      <c r="AN58" s="212" t="str">
        <f>IF(D58="p2",AP58,"no")</f>
        <v>no</v>
      </c>
      <c r="AO58" s="213"/>
      <c r="AP58" s="212" t="e">
        <f>WEEKDAY(C58)</f>
        <v>#NUM!</v>
      </c>
      <c r="AQ58" s="292" t="str">
        <f t="shared" ref="AQ58:AW73" si="10">AQ57</f>
        <v>M</v>
      </c>
      <c r="AR58" s="292" t="str">
        <f t="shared" si="10"/>
        <v>M</v>
      </c>
      <c r="AS58" s="292" t="str">
        <f t="shared" si="10"/>
        <v>M</v>
      </c>
      <c r="AT58" s="292" t="str">
        <f t="shared" si="10"/>
        <v>M</v>
      </c>
      <c r="AU58" s="292" t="str">
        <f t="shared" si="10"/>
        <v>M</v>
      </c>
      <c r="AV58" s="292" t="str">
        <f t="shared" si="10"/>
        <v>M</v>
      </c>
      <c r="AW58" s="292" t="str">
        <f t="shared" si="10"/>
        <v>M</v>
      </c>
      <c r="AX58" s="215"/>
      <c r="AY58" s="214">
        <f t="shared" ref="AY58:BE73" si="11">AY57</f>
        <v>0</v>
      </c>
      <c r="AZ58" s="214">
        <f t="shared" si="11"/>
        <v>0</v>
      </c>
      <c r="BA58" s="214">
        <f t="shared" si="11"/>
        <v>0</v>
      </c>
      <c r="BB58" s="214">
        <f t="shared" si="11"/>
        <v>0</v>
      </c>
      <c r="BC58" s="214">
        <f t="shared" si="11"/>
        <v>0</v>
      </c>
      <c r="BD58" s="214">
        <f t="shared" si="11"/>
        <v>0</v>
      </c>
      <c r="BE58" s="214">
        <f t="shared" si="11"/>
        <v>0</v>
      </c>
      <c r="BH58" s="217" t="str">
        <f>IF(OR(E58="",F58="",G58=""),"M",1)</f>
        <v>M</v>
      </c>
      <c r="BI58" s="217" t="str">
        <f>IF(OR(H58="",I58="",J58=""),"M",1)</f>
        <v>M</v>
      </c>
      <c r="BJ58" s="217" t="str">
        <f>IF(OR(K58="",L58="",M58=""),"M",1)</f>
        <v>M</v>
      </c>
      <c r="BK58" s="217" t="str">
        <f>IF(OR(N58="",O58="",P58=""),"M",1)</f>
        <v>M</v>
      </c>
      <c r="BL58" s="217" t="str">
        <f>IF(OR(Q58="",R58="",S58=""),"M",1)</f>
        <v>M</v>
      </c>
      <c r="BM58" s="217">
        <f>IF(AND(BH58="M",BI58="M",BJ58="M",BK58="M",BL58="M",D58=""),0,1)</f>
        <v>0</v>
      </c>
      <c r="BN58" s="216"/>
      <c r="BO58" s="216"/>
      <c r="BP58" s="218"/>
    </row>
    <row r="59" spans="1:68" ht="17.25" customHeight="1">
      <c r="A59" s="296">
        <v>-40</v>
      </c>
      <c r="B59" s="297">
        <f t="shared" si="0"/>
        <v>-40</v>
      </c>
      <c r="C59" s="298">
        <f t="shared" si="0"/>
        <v>-40</v>
      </c>
      <c r="D59" s="241"/>
      <c r="E59" s="46"/>
      <c r="F59" s="47"/>
      <c r="G59" s="48"/>
      <c r="H59" s="46"/>
      <c r="I59" s="47"/>
      <c r="J59" s="48"/>
      <c r="K59" s="46"/>
      <c r="L59" s="47"/>
      <c r="M59" s="48"/>
      <c r="N59" s="46"/>
      <c r="O59" s="47"/>
      <c r="P59" s="48"/>
      <c r="Q59" s="46"/>
      <c r="R59" s="47"/>
      <c r="S59" s="94"/>
      <c r="T59" s="92" t="str">
        <f>IF(BM59=0,"M",IF(D59="p1",AK59,IF(D59="p2",AL59,IF(D59="A",0,((E59*F59)*G59/0.6)+((H59*I59)*J59/0.6)+((K59*L59)*M59/0.6)+((N59*O59)*P59/0.6)+((Q59*R59)*S59/0.6)))))</f>
        <v>M</v>
      </c>
      <c r="U59" s="264" t="str">
        <f>IF(T59=Calculator!T59,"VALID","ERROR")</f>
        <v>VALID</v>
      </c>
      <c r="V59" s="127"/>
      <c r="W59" s="305">
        <f t="shared" si="1"/>
        <v>0</v>
      </c>
      <c r="X59" s="209"/>
      <c r="Y59" s="209"/>
      <c r="Z59" s="209"/>
      <c r="AA59" s="209"/>
      <c r="AB59" s="257"/>
      <c r="AC59" s="261"/>
      <c r="AD59" s="234"/>
      <c r="AE59" s="234"/>
      <c r="AF59" s="234"/>
      <c r="AG59" s="234"/>
      <c r="AH59" s="234"/>
      <c r="AK59" s="212" t="b">
        <f t="shared" si="2"/>
        <v>0</v>
      </c>
      <c r="AL59" s="212" t="b">
        <f t="shared" si="3"/>
        <v>0</v>
      </c>
      <c r="AM59" s="212" t="str">
        <f>IF(D59="p1",AP59,"no")</f>
        <v>no</v>
      </c>
      <c r="AN59" s="212" t="str">
        <f>IF(D59="p2",AP59,"no")</f>
        <v>no</v>
      </c>
      <c r="AO59" s="213"/>
      <c r="AP59" s="212" t="e">
        <f>WEEKDAY(C59)</f>
        <v>#NUM!</v>
      </c>
      <c r="AQ59" s="292" t="str">
        <f t="shared" si="10"/>
        <v>M</v>
      </c>
      <c r="AR59" s="292" t="str">
        <f t="shared" si="10"/>
        <v>M</v>
      </c>
      <c r="AS59" s="292" t="str">
        <f t="shared" si="10"/>
        <v>M</v>
      </c>
      <c r="AT59" s="292" t="str">
        <f t="shared" si="10"/>
        <v>M</v>
      </c>
      <c r="AU59" s="292" t="str">
        <f t="shared" si="10"/>
        <v>M</v>
      </c>
      <c r="AV59" s="292" t="str">
        <f t="shared" si="10"/>
        <v>M</v>
      </c>
      <c r="AW59" s="292" t="str">
        <f t="shared" si="10"/>
        <v>M</v>
      </c>
      <c r="AX59" s="215"/>
      <c r="AY59" s="214">
        <f t="shared" si="11"/>
        <v>0</v>
      </c>
      <c r="AZ59" s="214">
        <f t="shared" si="11"/>
        <v>0</v>
      </c>
      <c r="BA59" s="214">
        <f t="shared" si="11"/>
        <v>0</v>
      </c>
      <c r="BB59" s="214">
        <f t="shared" si="11"/>
        <v>0</v>
      </c>
      <c r="BC59" s="214">
        <f t="shared" si="11"/>
        <v>0</v>
      </c>
      <c r="BD59" s="214">
        <f t="shared" si="11"/>
        <v>0</v>
      </c>
      <c r="BE59" s="214">
        <f t="shared" si="11"/>
        <v>0</v>
      </c>
      <c r="BH59" s="217" t="str">
        <f>IF(OR(E59="",F59="",G59=""),"M",1)</f>
        <v>M</v>
      </c>
      <c r="BI59" s="217" t="str">
        <f>IF(OR(H59="",I59="",J59=""),"M",1)</f>
        <v>M</v>
      </c>
      <c r="BJ59" s="217" t="str">
        <f>IF(OR(K59="",L59="",M59=""),"M",1)</f>
        <v>M</v>
      </c>
      <c r="BK59" s="217" t="str">
        <f>IF(OR(N59="",O59="",P59=""),"M",1)</f>
        <v>M</v>
      </c>
      <c r="BL59" s="217" t="str">
        <f>IF(OR(Q59="",R59="",S59=""),"M",1)</f>
        <v>M</v>
      </c>
      <c r="BM59" s="217">
        <f>IF(AND(BH59="M",BI59="M",BJ59="M",BK59="M",BL59="M",D59=""),0,1)</f>
        <v>0</v>
      </c>
      <c r="BN59" s="216"/>
      <c r="BO59" s="216"/>
      <c r="BP59" s="218"/>
    </row>
    <row r="60" spans="1:68" ht="17.25" customHeight="1">
      <c r="A60" s="296">
        <v>-39</v>
      </c>
      <c r="B60" s="297">
        <f t="shared" si="0"/>
        <v>-39</v>
      </c>
      <c r="C60" s="298">
        <f t="shared" si="0"/>
        <v>-39</v>
      </c>
      <c r="D60" s="242"/>
      <c r="E60" s="46"/>
      <c r="F60" s="47"/>
      <c r="G60" s="48"/>
      <c r="H60" s="46"/>
      <c r="I60" s="47"/>
      <c r="J60" s="48"/>
      <c r="K60" s="46"/>
      <c r="L60" s="47"/>
      <c r="M60" s="48"/>
      <c r="N60" s="46"/>
      <c r="O60" s="47"/>
      <c r="P60" s="48"/>
      <c r="Q60" s="46"/>
      <c r="R60" s="47"/>
      <c r="S60" s="94"/>
      <c r="T60" s="92" t="str">
        <f>IF(BM60=0,"M",IF(D60="p1",AK60,IF(D60="p2",AL60,IF(D60="A",0,((E60*F60)*G60/0.6)+((H60*I60)*J60/0.6)+((K60*L60)*M60/0.6)+((N60*O60)*P60/0.6)+((Q60*R60)*S60/0.6)))))</f>
        <v>M</v>
      </c>
      <c r="U60" s="264" t="str">
        <f>IF(T60=Calculator!T60,"VALID","ERROR")</f>
        <v>VALID</v>
      </c>
      <c r="V60" s="127"/>
      <c r="W60" s="305">
        <f t="shared" si="1"/>
        <v>0</v>
      </c>
      <c r="X60" s="209"/>
      <c r="Y60" s="209"/>
      <c r="Z60" s="209"/>
      <c r="AA60" s="209"/>
      <c r="AB60" s="257"/>
      <c r="AC60" s="261"/>
      <c r="AD60" s="234"/>
      <c r="AE60" s="234"/>
      <c r="AF60" s="234"/>
      <c r="AG60" s="234"/>
      <c r="AH60" s="234"/>
      <c r="AK60" s="212" t="b">
        <f t="shared" si="2"/>
        <v>0</v>
      </c>
      <c r="AL60" s="212" t="b">
        <f t="shared" si="3"/>
        <v>0</v>
      </c>
      <c r="AM60" s="212" t="str">
        <f>IF(D60="p1",AP60,"no")</f>
        <v>no</v>
      </c>
      <c r="AN60" s="212" t="str">
        <f>IF(D60="p2",AP60,"no")</f>
        <v>no</v>
      </c>
      <c r="AO60" s="213"/>
      <c r="AP60" s="212" t="e">
        <f>WEEKDAY(C60)</f>
        <v>#NUM!</v>
      </c>
      <c r="AQ60" s="292" t="str">
        <f t="shared" si="10"/>
        <v>M</v>
      </c>
      <c r="AR60" s="292" t="str">
        <f t="shared" si="10"/>
        <v>M</v>
      </c>
      <c r="AS60" s="292" t="str">
        <f t="shared" si="10"/>
        <v>M</v>
      </c>
      <c r="AT60" s="292" t="str">
        <f t="shared" si="10"/>
        <v>M</v>
      </c>
      <c r="AU60" s="292" t="str">
        <f t="shared" si="10"/>
        <v>M</v>
      </c>
      <c r="AV60" s="292" t="str">
        <f t="shared" si="10"/>
        <v>M</v>
      </c>
      <c r="AW60" s="292" t="str">
        <f t="shared" si="10"/>
        <v>M</v>
      </c>
      <c r="AX60" s="215"/>
      <c r="AY60" s="214">
        <f t="shared" si="11"/>
        <v>0</v>
      </c>
      <c r="AZ60" s="214">
        <f t="shared" si="11"/>
        <v>0</v>
      </c>
      <c r="BA60" s="214">
        <f t="shared" si="11"/>
        <v>0</v>
      </c>
      <c r="BB60" s="214">
        <f t="shared" si="11"/>
        <v>0</v>
      </c>
      <c r="BC60" s="214">
        <f t="shared" si="11"/>
        <v>0</v>
      </c>
      <c r="BD60" s="214">
        <f t="shared" si="11"/>
        <v>0</v>
      </c>
      <c r="BE60" s="214">
        <f t="shared" si="11"/>
        <v>0</v>
      </c>
      <c r="BH60" s="217" t="str">
        <f>IF(OR(E60="",F60="",G60=""),"M",1)</f>
        <v>M</v>
      </c>
      <c r="BI60" s="217" t="str">
        <f>IF(OR(H60="",I60="",J60=""),"M",1)</f>
        <v>M</v>
      </c>
      <c r="BJ60" s="217" t="str">
        <f>IF(OR(K60="",L60="",M60=""),"M",1)</f>
        <v>M</v>
      </c>
      <c r="BK60" s="217" t="str">
        <f>IF(OR(N60="",O60="",P60=""),"M",1)</f>
        <v>M</v>
      </c>
      <c r="BL60" s="217" t="str">
        <f>IF(OR(Q60="",R60="",S60=""),"M",1)</f>
        <v>M</v>
      </c>
      <c r="BM60" s="217">
        <f>IF(AND(BH60="M",BI60="M",BJ60="M",BK60="M",BL60="M",D60=""),0,1)</f>
        <v>0</v>
      </c>
      <c r="BN60" s="216"/>
      <c r="BO60" s="216"/>
      <c r="BP60" s="218"/>
    </row>
    <row r="61" spans="1:68" ht="17.25" customHeight="1">
      <c r="A61" s="296">
        <v>-38</v>
      </c>
      <c r="B61" s="297">
        <f t="shared" si="0"/>
        <v>-38</v>
      </c>
      <c r="C61" s="298">
        <f t="shared" si="0"/>
        <v>-38</v>
      </c>
      <c r="D61" s="241"/>
      <c r="E61" s="46"/>
      <c r="F61" s="47"/>
      <c r="G61" s="48"/>
      <c r="H61" s="46"/>
      <c r="I61" s="47"/>
      <c r="J61" s="48"/>
      <c r="K61" s="46"/>
      <c r="L61" s="47"/>
      <c r="M61" s="48"/>
      <c r="N61" s="46"/>
      <c r="O61" s="47"/>
      <c r="P61" s="48"/>
      <c r="Q61" s="46"/>
      <c r="R61" s="47"/>
      <c r="S61" s="94"/>
      <c r="T61" s="92" t="str">
        <f>IF(BM61=0,"M",IF(D61="p1",AK61,IF(D61="p2",AL61,IF(D61="A",0,((E61*F61)*G61/0.6)+((H61*I61)*J61/0.6)+((K61*L61)*M61/0.6)+((N61*O61)*P61/0.6)+((Q61*R61)*S61/0.6)))))</f>
        <v>M</v>
      </c>
      <c r="U61" s="264" t="str">
        <f>IF(T61=Calculator!T61,"VALID","ERROR")</f>
        <v>VALID</v>
      </c>
      <c r="V61" s="127"/>
      <c r="W61" s="305">
        <f t="shared" si="1"/>
        <v>0</v>
      </c>
      <c r="X61" s="209"/>
      <c r="Y61" s="209"/>
      <c r="Z61" s="209"/>
      <c r="AA61" s="209"/>
      <c r="AB61" s="257"/>
      <c r="AC61" s="261"/>
      <c r="AD61" s="234"/>
      <c r="AE61" s="234"/>
      <c r="AF61" s="234"/>
      <c r="AG61" s="234"/>
      <c r="AH61" s="234"/>
      <c r="AK61" s="212" t="b">
        <f t="shared" si="2"/>
        <v>0</v>
      </c>
      <c r="AL61" s="212" t="b">
        <f t="shared" si="3"/>
        <v>0</v>
      </c>
      <c r="AM61" s="212" t="str">
        <f>IF(D61="p1",AP61,"no")</f>
        <v>no</v>
      </c>
      <c r="AN61" s="212" t="str">
        <f>IF(D61="p2",AP61,"no")</f>
        <v>no</v>
      </c>
      <c r="AO61" s="213"/>
      <c r="AP61" s="212" t="e">
        <f>WEEKDAY(C61)</f>
        <v>#NUM!</v>
      </c>
      <c r="AQ61" s="292" t="str">
        <f t="shared" si="10"/>
        <v>M</v>
      </c>
      <c r="AR61" s="292" t="str">
        <f t="shared" si="10"/>
        <v>M</v>
      </c>
      <c r="AS61" s="292" t="str">
        <f t="shared" si="10"/>
        <v>M</v>
      </c>
      <c r="AT61" s="292" t="str">
        <f t="shared" si="10"/>
        <v>M</v>
      </c>
      <c r="AU61" s="292" t="str">
        <f t="shared" si="10"/>
        <v>M</v>
      </c>
      <c r="AV61" s="292" t="str">
        <f t="shared" si="10"/>
        <v>M</v>
      </c>
      <c r="AW61" s="292" t="str">
        <f t="shared" si="10"/>
        <v>M</v>
      </c>
      <c r="AX61" s="215"/>
      <c r="AY61" s="214">
        <f t="shared" si="11"/>
        <v>0</v>
      </c>
      <c r="AZ61" s="214">
        <f t="shared" si="11"/>
        <v>0</v>
      </c>
      <c r="BA61" s="214">
        <f t="shared" si="11"/>
        <v>0</v>
      </c>
      <c r="BB61" s="214">
        <f t="shared" si="11"/>
        <v>0</v>
      </c>
      <c r="BC61" s="214">
        <f t="shared" si="11"/>
        <v>0</v>
      </c>
      <c r="BD61" s="214">
        <f t="shared" si="11"/>
        <v>0</v>
      </c>
      <c r="BE61" s="214">
        <f t="shared" si="11"/>
        <v>0</v>
      </c>
      <c r="BH61" s="217" t="str">
        <f>IF(OR(E61="",F61="",G61=""),"M",1)</f>
        <v>M</v>
      </c>
      <c r="BI61" s="217" t="str">
        <f>IF(OR(H61="",I61="",J61=""),"M",1)</f>
        <v>M</v>
      </c>
      <c r="BJ61" s="217" t="str">
        <f>IF(OR(K61="",L61="",M61=""),"M",1)</f>
        <v>M</v>
      </c>
      <c r="BK61" s="217" t="str">
        <f>IF(OR(N61="",O61="",P61=""),"M",1)</f>
        <v>M</v>
      </c>
      <c r="BL61" s="217" t="str">
        <f>IF(OR(Q61="",R61="",S61=""),"M",1)</f>
        <v>M</v>
      </c>
      <c r="BM61" s="217">
        <f>IF(AND(BH61="M",BI61="M",BJ61="M",BK61="M",BL61="M",D61=""),0,1)</f>
        <v>0</v>
      </c>
      <c r="BN61" s="216"/>
      <c r="BO61" s="216"/>
      <c r="BP61" s="218"/>
    </row>
    <row r="62" spans="1:68" ht="17.25" customHeight="1">
      <c r="A62" s="296">
        <v>-37</v>
      </c>
      <c r="B62" s="297">
        <f t="shared" si="0"/>
        <v>-37</v>
      </c>
      <c r="C62" s="298">
        <f t="shared" si="0"/>
        <v>-37</v>
      </c>
      <c r="D62" s="242"/>
      <c r="E62" s="46"/>
      <c r="F62" s="47"/>
      <c r="G62" s="48"/>
      <c r="H62" s="46"/>
      <c r="I62" s="47"/>
      <c r="J62" s="48"/>
      <c r="K62" s="46"/>
      <c r="L62" s="47"/>
      <c r="M62" s="48"/>
      <c r="N62" s="46"/>
      <c r="O62" s="47"/>
      <c r="P62" s="48"/>
      <c r="Q62" s="46"/>
      <c r="R62" s="47"/>
      <c r="S62" s="94"/>
      <c r="T62" s="92" t="str">
        <f>IF(BM62=0,"M",IF(D62="p1",AK62,IF(D62="p2",AL62,IF(D62="A",0,((E62*F62)*G62/0.6)+((H62*I62)*J62/0.6)+((K62*L62)*M62/0.6)+((N62*O62)*P62/0.6)+((Q62*R62)*S62/0.6)))))</f>
        <v>M</v>
      </c>
      <c r="U62" s="264" t="str">
        <f>IF(T62=Calculator!T62,"VALID","ERROR")</f>
        <v>VALID</v>
      </c>
      <c r="V62" s="127"/>
      <c r="W62" s="305">
        <f t="shared" si="1"/>
        <v>0</v>
      </c>
      <c r="X62" s="209"/>
      <c r="Y62" s="209"/>
      <c r="Z62" s="209"/>
      <c r="AA62" s="209"/>
      <c r="AB62" s="257"/>
      <c r="AC62" s="261"/>
      <c r="AD62" s="234"/>
      <c r="AE62" s="234"/>
      <c r="AF62" s="234"/>
      <c r="AG62" s="234"/>
      <c r="AH62" s="234"/>
      <c r="AK62" s="212" t="b">
        <f t="shared" si="2"/>
        <v>0</v>
      </c>
      <c r="AL62" s="212" t="b">
        <f t="shared" si="3"/>
        <v>0</v>
      </c>
      <c r="AM62" s="212" t="str">
        <f>IF(D62="p1",AP62,"no")</f>
        <v>no</v>
      </c>
      <c r="AN62" s="212" t="str">
        <f>IF(D62="p2",AP62,"no")</f>
        <v>no</v>
      </c>
      <c r="AO62" s="213"/>
      <c r="AP62" s="212" t="e">
        <f>WEEKDAY(C62)</f>
        <v>#NUM!</v>
      </c>
      <c r="AQ62" s="292" t="str">
        <f t="shared" si="10"/>
        <v>M</v>
      </c>
      <c r="AR62" s="292" t="str">
        <f t="shared" si="10"/>
        <v>M</v>
      </c>
      <c r="AS62" s="292" t="str">
        <f t="shared" si="10"/>
        <v>M</v>
      </c>
      <c r="AT62" s="292" t="str">
        <f t="shared" si="10"/>
        <v>M</v>
      </c>
      <c r="AU62" s="292" t="str">
        <f t="shared" si="10"/>
        <v>M</v>
      </c>
      <c r="AV62" s="292" t="str">
        <f t="shared" si="10"/>
        <v>M</v>
      </c>
      <c r="AW62" s="292" t="str">
        <f t="shared" si="10"/>
        <v>M</v>
      </c>
      <c r="AX62" s="215"/>
      <c r="AY62" s="214">
        <f t="shared" si="11"/>
        <v>0</v>
      </c>
      <c r="AZ62" s="214">
        <f t="shared" si="11"/>
        <v>0</v>
      </c>
      <c r="BA62" s="214">
        <f t="shared" si="11"/>
        <v>0</v>
      </c>
      <c r="BB62" s="214">
        <f t="shared" si="11"/>
        <v>0</v>
      </c>
      <c r="BC62" s="214">
        <f t="shared" si="11"/>
        <v>0</v>
      </c>
      <c r="BD62" s="214">
        <f t="shared" si="11"/>
        <v>0</v>
      </c>
      <c r="BE62" s="214">
        <f t="shared" si="11"/>
        <v>0</v>
      </c>
      <c r="BH62" s="217" t="str">
        <f>IF(OR(E62="",F62="",G62=""),"M",1)</f>
        <v>M</v>
      </c>
      <c r="BI62" s="217" t="str">
        <f>IF(OR(H62="",I62="",J62=""),"M",1)</f>
        <v>M</v>
      </c>
      <c r="BJ62" s="217" t="str">
        <f>IF(OR(K62="",L62="",M62=""),"M",1)</f>
        <v>M</v>
      </c>
      <c r="BK62" s="217" t="str">
        <f>IF(OR(N62="",O62="",P62=""),"M",1)</f>
        <v>M</v>
      </c>
      <c r="BL62" s="217" t="str">
        <f>IF(OR(Q62="",R62="",S62=""),"M",1)</f>
        <v>M</v>
      </c>
      <c r="BM62" s="217">
        <f>IF(AND(BH62="M",BI62="M",BJ62="M",BK62="M",BL62="M",D62=""),0,1)</f>
        <v>0</v>
      </c>
      <c r="BN62" s="216"/>
      <c r="BO62" s="216"/>
      <c r="BP62" s="218"/>
    </row>
    <row r="63" spans="1:68" ht="17.25" customHeight="1">
      <c r="A63" s="296">
        <v>-36</v>
      </c>
      <c r="B63" s="297">
        <f t="shared" si="0"/>
        <v>-36</v>
      </c>
      <c r="C63" s="298">
        <f t="shared" si="0"/>
        <v>-36</v>
      </c>
      <c r="D63" s="241"/>
      <c r="E63" s="46"/>
      <c r="F63" s="47"/>
      <c r="G63" s="48"/>
      <c r="H63" s="46"/>
      <c r="I63" s="47"/>
      <c r="J63" s="48"/>
      <c r="K63" s="46"/>
      <c r="L63" s="47"/>
      <c r="M63" s="48"/>
      <c r="N63" s="46"/>
      <c r="O63" s="47"/>
      <c r="P63" s="48"/>
      <c r="Q63" s="46"/>
      <c r="R63" s="47"/>
      <c r="S63" s="94"/>
      <c r="T63" s="92" t="str">
        <f>IF(BM63=0,"M",IF(D63="p1",AK63,IF(D63="p2",AL63,IF(D63="A",0,((E63*F63)*G63/0.6)+((H63*I63)*J63/0.6)+((K63*L63)*M63/0.6)+((N63*O63)*P63/0.6)+((Q63*R63)*S63/0.6)))))</f>
        <v>M</v>
      </c>
      <c r="U63" s="264" t="str">
        <f>IF(T63=Calculator!T63,"VALID","ERROR")</f>
        <v>VALID</v>
      </c>
      <c r="V63" s="127"/>
      <c r="W63" s="305">
        <f t="shared" si="1"/>
        <v>0</v>
      </c>
      <c r="X63" s="209"/>
      <c r="Y63" s="209"/>
      <c r="Z63" s="209"/>
      <c r="AA63" s="209"/>
      <c r="AB63" s="257"/>
      <c r="AC63" s="261"/>
      <c r="AD63" s="234"/>
      <c r="AE63" s="234"/>
      <c r="AF63" s="234"/>
      <c r="AG63" s="234"/>
      <c r="AH63" s="234"/>
      <c r="AK63" s="212" t="b">
        <f t="shared" si="2"/>
        <v>0</v>
      </c>
      <c r="AL63" s="212" t="b">
        <f t="shared" si="3"/>
        <v>0</v>
      </c>
      <c r="AM63" s="212" t="str">
        <f>IF(D63="p1",AP63,"no")</f>
        <v>no</v>
      </c>
      <c r="AN63" s="212" t="str">
        <f>IF(D63="p2",AP63,"no")</f>
        <v>no</v>
      </c>
      <c r="AO63" s="213"/>
      <c r="AP63" s="212" t="e">
        <f>WEEKDAY(C63)</f>
        <v>#NUM!</v>
      </c>
      <c r="AQ63" s="292" t="str">
        <f t="shared" si="10"/>
        <v>M</v>
      </c>
      <c r="AR63" s="292" t="str">
        <f t="shared" si="10"/>
        <v>M</v>
      </c>
      <c r="AS63" s="292" t="str">
        <f t="shared" si="10"/>
        <v>M</v>
      </c>
      <c r="AT63" s="292" t="str">
        <f t="shared" si="10"/>
        <v>M</v>
      </c>
      <c r="AU63" s="292" t="str">
        <f t="shared" si="10"/>
        <v>M</v>
      </c>
      <c r="AV63" s="292" t="str">
        <f t="shared" si="10"/>
        <v>M</v>
      </c>
      <c r="AW63" s="292" t="str">
        <f t="shared" si="10"/>
        <v>M</v>
      </c>
      <c r="AX63" s="215"/>
      <c r="AY63" s="214">
        <f t="shared" si="11"/>
        <v>0</v>
      </c>
      <c r="AZ63" s="214">
        <f t="shared" si="11"/>
        <v>0</v>
      </c>
      <c r="BA63" s="214">
        <f t="shared" si="11"/>
        <v>0</v>
      </c>
      <c r="BB63" s="214">
        <f t="shared" si="11"/>
        <v>0</v>
      </c>
      <c r="BC63" s="214">
        <f t="shared" si="11"/>
        <v>0</v>
      </c>
      <c r="BD63" s="214">
        <f t="shared" si="11"/>
        <v>0</v>
      </c>
      <c r="BE63" s="214">
        <f t="shared" si="11"/>
        <v>0</v>
      </c>
      <c r="BH63" s="217" t="str">
        <f>IF(OR(E63="",F63="",G63=""),"M",1)</f>
        <v>M</v>
      </c>
      <c r="BI63" s="217" t="str">
        <f>IF(OR(H63="",I63="",J63=""),"M",1)</f>
        <v>M</v>
      </c>
      <c r="BJ63" s="217" t="str">
        <f>IF(OR(K63="",L63="",M63=""),"M",1)</f>
        <v>M</v>
      </c>
      <c r="BK63" s="217" t="str">
        <f>IF(OR(N63="",O63="",P63=""),"M",1)</f>
        <v>M</v>
      </c>
      <c r="BL63" s="217" t="str">
        <f>IF(OR(Q63="",R63="",S63=""),"M",1)</f>
        <v>M</v>
      </c>
      <c r="BM63" s="217">
        <f>IF(AND(BH63="M",BI63="M",BJ63="M",BK63="M",BL63="M",D63=""),0,1)</f>
        <v>0</v>
      </c>
      <c r="BN63" s="216"/>
      <c r="BO63" s="216"/>
      <c r="BP63" s="218"/>
    </row>
    <row r="64" spans="1:68" ht="17.25" customHeight="1">
      <c r="A64" s="296">
        <v>-35</v>
      </c>
      <c r="B64" s="297">
        <f t="shared" si="0"/>
        <v>-35</v>
      </c>
      <c r="C64" s="298">
        <f t="shared" si="0"/>
        <v>-35</v>
      </c>
      <c r="D64" s="242"/>
      <c r="E64" s="46"/>
      <c r="F64" s="47"/>
      <c r="G64" s="48"/>
      <c r="H64" s="46"/>
      <c r="I64" s="47"/>
      <c r="J64" s="48"/>
      <c r="K64" s="46"/>
      <c r="L64" s="47"/>
      <c r="M64" s="48"/>
      <c r="N64" s="46"/>
      <c r="O64" s="47"/>
      <c r="P64" s="48"/>
      <c r="Q64" s="46"/>
      <c r="R64" s="47"/>
      <c r="S64" s="94"/>
      <c r="T64" s="92" t="str">
        <f>IF(BM64=0,"M",IF(D64="p1",AK64,IF(D64="p2",AL64,IF(D64="A",0,((E64*F64)*G64/0.6)+((H64*I64)*J64/0.6)+((K64*L64)*M64/0.6)+((N64*O64)*P64/0.6)+((Q64*R64)*S64/0.6)))))</f>
        <v>M</v>
      </c>
      <c r="U64" s="264" t="str">
        <f>IF(T64=Calculator!T64,"VALID","ERROR")</f>
        <v>VALID</v>
      </c>
      <c r="V64" s="127"/>
      <c r="W64" s="305">
        <f t="shared" si="1"/>
        <v>0</v>
      </c>
      <c r="X64" s="209"/>
      <c r="Y64" s="209"/>
      <c r="Z64" s="209"/>
      <c r="AA64" s="209"/>
      <c r="AB64" s="257"/>
      <c r="AC64" s="261"/>
      <c r="AD64" s="234"/>
      <c r="AE64" s="234"/>
      <c r="AF64" s="234"/>
      <c r="AG64" s="234"/>
      <c r="AH64" s="234"/>
      <c r="AK64" s="212" t="b">
        <f t="shared" si="2"/>
        <v>0</v>
      </c>
      <c r="AL64" s="212" t="b">
        <f t="shared" si="3"/>
        <v>0</v>
      </c>
      <c r="AM64" s="212" t="str">
        <f>IF(D64="p1",AP64,"no")</f>
        <v>no</v>
      </c>
      <c r="AN64" s="212" t="str">
        <f>IF(D64="p2",AP64,"no")</f>
        <v>no</v>
      </c>
      <c r="AO64" s="213"/>
      <c r="AP64" s="212" t="e">
        <f>WEEKDAY(C64)</f>
        <v>#NUM!</v>
      </c>
      <c r="AQ64" s="292" t="str">
        <f t="shared" si="10"/>
        <v>M</v>
      </c>
      <c r="AR64" s="292" t="str">
        <f t="shared" si="10"/>
        <v>M</v>
      </c>
      <c r="AS64" s="292" t="str">
        <f t="shared" si="10"/>
        <v>M</v>
      </c>
      <c r="AT64" s="292" t="str">
        <f t="shared" si="10"/>
        <v>M</v>
      </c>
      <c r="AU64" s="292" t="str">
        <f t="shared" si="10"/>
        <v>M</v>
      </c>
      <c r="AV64" s="292" t="str">
        <f t="shared" si="10"/>
        <v>M</v>
      </c>
      <c r="AW64" s="292" t="str">
        <f t="shared" si="10"/>
        <v>M</v>
      </c>
      <c r="AX64" s="215"/>
      <c r="AY64" s="214">
        <f t="shared" si="11"/>
        <v>0</v>
      </c>
      <c r="AZ64" s="214">
        <f t="shared" si="11"/>
        <v>0</v>
      </c>
      <c r="BA64" s="214">
        <f t="shared" si="11"/>
        <v>0</v>
      </c>
      <c r="BB64" s="214">
        <f t="shared" si="11"/>
        <v>0</v>
      </c>
      <c r="BC64" s="214">
        <f t="shared" si="11"/>
        <v>0</v>
      </c>
      <c r="BD64" s="214">
        <f t="shared" si="11"/>
        <v>0</v>
      </c>
      <c r="BE64" s="214">
        <f t="shared" si="11"/>
        <v>0</v>
      </c>
      <c r="BH64" s="217" t="str">
        <f>IF(OR(E64="",F64="",G64=""),"M",1)</f>
        <v>M</v>
      </c>
      <c r="BI64" s="217" t="str">
        <f>IF(OR(H64="",I64="",J64=""),"M",1)</f>
        <v>M</v>
      </c>
      <c r="BJ64" s="217" t="str">
        <f>IF(OR(K64="",L64="",M64=""),"M",1)</f>
        <v>M</v>
      </c>
      <c r="BK64" s="217" t="str">
        <f>IF(OR(N64="",O64="",P64=""),"M",1)</f>
        <v>M</v>
      </c>
      <c r="BL64" s="217" t="str">
        <f>IF(OR(Q64="",R64="",S64=""),"M",1)</f>
        <v>M</v>
      </c>
      <c r="BM64" s="217">
        <f>IF(AND(BH64="M",BI64="M",BJ64="M",BK64="M",BL64="M",D64=""),0,1)</f>
        <v>0</v>
      </c>
      <c r="BN64" s="216"/>
      <c r="BO64" s="216"/>
      <c r="BP64" s="218"/>
    </row>
    <row r="65" spans="1:68" ht="17.25" customHeight="1">
      <c r="A65" s="296">
        <v>-34</v>
      </c>
      <c r="B65" s="297">
        <f t="shared" si="0"/>
        <v>-34</v>
      </c>
      <c r="C65" s="298">
        <f t="shared" si="0"/>
        <v>-34</v>
      </c>
      <c r="D65" s="241"/>
      <c r="E65" s="46"/>
      <c r="F65" s="47"/>
      <c r="G65" s="48"/>
      <c r="H65" s="46"/>
      <c r="I65" s="47"/>
      <c r="J65" s="48"/>
      <c r="K65" s="46"/>
      <c r="L65" s="47"/>
      <c r="M65" s="48"/>
      <c r="N65" s="46"/>
      <c r="O65" s="47"/>
      <c r="P65" s="48"/>
      <c r="Q65" s="46"/>
      <c r="R65" s="47"/>
      <c r="S65" s="94"/>
      <c r="T65" s="92" t="str">
        <f>IF(BM65=0,"M",IF(D65="p1",AK65,IF(D65="p2",AL65,IF(D65="A",0,((E65*F65)*G65/0.6)+((H65*I65)*J65/0.6)+((K65*L65)*M65/0.6)+((N65*O65)*P65/0.6)+((Q65*R65)*S65/0.6)))))</f>
        <v>M</v>
      </c>
      <c r="U65" s="264" t="str">
        <f>IF(T65=Calculator!T65,"VALID","ERROR")</f>
        <v>VALID</v>
      </c>
      <c r="V65" s="127"/>
      <c r="W65" s="305">
        <f t="shared" si="1"/>
        <v>0</v>
      </c>
      <c r="X65" s="209"/>
      <c r="Y65" s="209"/>
      <c r="Z65" s="209"/>
      <c r="AA65" s="209"/>
      <c r="AB65" s="257"/>
      <c r="AC65" s="261"/>
      <c r="AD65" s="234"/>
      <c r="AE65" s="234"/>
      <c r="AF65" s="234"/>
      <c r="AG65" s="234"/>
      <c r="AH65" s="234"/>
      <c r="AK65" s="212" t="b">
        <f t="shared" si="2"/>
        <v>0</v>
      </c>
      <c r="AL65" s="212" t="b">
        <f t="shared" si="3"/>
        <v>0</v>
      </c>
      <c r="AM65" s="212" t="str">
        <f>IF(D65="p1",AP65,"no")</f>
        <v>no</v>
      </c>
      <c r="AN65" s="212" t="str">
        <f>IF(D65="p2",AP65,"no")</f>
        <v>no</v>
      </c>
      <c r="AO65" s="213"/>
      <c r="AP65" s="212" t="e">
        <f>WEEKDAY(C65)</f>
        <v>#NUM!</v>
      </c>
      <c r="AQ65" s="292" t="str">
        <f t="shared" si="10"/>
        <v>M</v>
      </c>
      <c r="AR65" s="292" t="str">
        <f t="shared" si="10"/>
        <v>M</v>
      </c>
      <c r="AS65" s="292" t="str">
        <f t="shared" si="10"/>
        <v>M</v>
      </c>
      <c r="AT65" s="292" t="str">
        <f t="shared" si="10"/>
        <v>M</v>
      </c>
      <c r="AU65" s="292" t="str">
        <f t="shared" si="10"/>
        <v>M</v>
      </c>
      <c r="AV65" s="292" t="str">
        <f t="shared" si="10"/>
        <v>M</v>
      </c>
      <c r="AW65" s="292" t="str">
        <f t="shared" si="10"/>
        <v>M</v>
      </c>
      <c r="AX65" s="215"/>
      <c r="AY65" s="214">
        <f t="shared" si="11"/>
        <v>0</v>
      </c>
      <c r="AZ65" s="214">
        <f t="shared" si="11"/>
        <v>0</v>
      </c>
      <c r="BA65" s="214">
        <f t="shared" si="11"/>
        <v>0</v>
      </c>
      <c r="BB65" s="214">
        <f t="shared" si="11"/>
        <v>0</v>
      </c>
      <c r="BC65" s="214">
        <f t="shared" si="11"/>
        <v>0</v>
      </c>
      <c r="BD65" s="214">
        <f t="shared" si="11"/>
        <v>0</v>
      </c>
      <c r="BE65" s="214">
        <f t="shared" si="11"/>
        <v>0</v>
      </c>
      <c r="BH65" s="217" t="str">
        <f>IF(OR(E65="",F65="",G65=""),"M",1)</f>
        <v>M</v>
      </c>
      <c r="BI65" s="217" t="str">
        <f>IF(OR(H65="",I65="",J65=""),"M",1)</f>
        <v>M</v>
      </c>
      <c r="BJ65" s="217" t="str">
        <f>IF(OR(K65="",L65="",M65=""),"M",1)</f>
        <v>M</v>
      </c>
      <c r="BK65" s="217" t="str">
        <f>IF(OR(N65="",O65="",P65=""),"M",1)</f>
        <v>M</v>
      </c>
      <c r="BL65" s="217" t="str">
        <f>IF(OR(Q65="",R65="",S65=""),"M",1)</f>
        <v>M</v>
      </c>
      <c r="BM65" s="217">
        <f>IF(AND(BH65="M",BI65="M",BJ65="M",BK65="M",BL65="M",D65=""),0,1)</f>
        <v>0</v>
      </c>
      <c r="BN65" s="216"/>
      <c r="BO65" s="216"/>
      <c r="BP65" s="218"/>
    </row>
    <row r="66" spans="1:68" ht="17.25" customHeight="1">
      <c r="A66" s="296">
        <v>-33</v>
      </c>
      <c r="B66" s="297">
        <f t="shared" si="0"/>
        <v>-33</v>
      </c>
      <c r="C66" s="298">
        <f t="shared" si="0"/>
        <v>-33</v>
      </c>
      <c r="D66" s="242"/>
      <c r="E66" s="46"/>
      <c r="F66" s="47"/>
      <c r="G66" s="48"/>
      <c r="H66" s="46"/>
      <c r="I66" s="47"/>
      <c r="J66" s="48"/>
      <c r="K66" s="46"/>
      <c r="L66" s="47"/>
      <c r="M66" s="48"/>
      <c r="N66" s="46"/>
      <c r="O66" s="47"/>
      <c r="P66" s="48"/>
      <c r="Q66" s="46"/>
      <c r="R66" s="47"/>
      <c r="S66" s="94"/>
      <c r="T66" s="92" t="str">
        <f>IF(BM66=0,"M",IF(D66="p1",AK66,IF(D66="p2",AL66,IF(D66="A",0,((E66*F66)*G66/0.6)+((H66*I66)*J66/0.6)+((K66*L66)*M66/0.6)+((N66*O66)*P66/0.6)+((Q66*R66)*S66/0.6)))))</f>
        <v>M</v>
      </c>
      <c r="U66" s="264" t="str">
        <f>IF(T66=Calculator!T66,"VALID","ERROR")</f>
        <v>VALID</v>
      </c>
      <c r="V66" s="127"/>
      <c r="W66" s="305">
        <f t="shared" si="1"/>
        <v>0</v>
      </c>
      <c r="X66" s="209"/>
      <c r="Y66" s="209"/>
      <c r="Z66" s="209"/>
      <c r="AA66" s="209"/>
      <c r="AB66" s="257"/>
      <c r="AC66" s="261"/>
      <c r="AD66" s="234"/>
      <c r="AE66" s="234"/>
      <c r="AF66" s="234"/>
      <c r="AG66" s="234"/>
      <c r="AH66" s="234"/>
      <c r="AK66" s="212" t="b">
        <f t="shared" si="2"/>
        <v>0</v>
      </c>
      <c r="AL66" s="212" t="b">
        <f t="shared" si="3"/>
        <v>0</v>
      </c>
      <c r="AM66" s="212" t="str">
        <f>IF(D66="p1",AP66,"no")</f>
        <v>no</v>
      </c>
      <c r="AN66" s="212" t="str">
        <f>IF(D66="p2",AP66,"no")</f>
        <v>no</v>
      </c>
      <c r="AO66" s="213"/>
      <c r="AP66" s="212" t="e">
        <f>WEEKDAY(C66)</f>
        <v>#NUM!</v>
      </c>
      <c r="AQ66" s="292" t="str">
        <f t="shared" si="10"/>
        <v>M</v>
      </c>
      <c r="AR66" s="292" t="str">
        <f t="shared" si="10"/>
        <v>M</v>
      </c>
      <c r="AS66" s="292" t="str">
        <f t="shared" si="10"/>
        <v>M</v>
      </c>
      <c r="AT66" s="292" t="str">
        <f t="shared" si="10"/>
        <v>M</v>
      </c>
      <c r="AU66" s="292" t="str">
        <f t="shared" si="10"/>
        <v>M</v>
      </c>
      <c r="AV66" s="292" t="str">
        <f t="shared" si="10"/>
        <v>M</v>
      </c>
      <c r="AW66" s="292" t="str">
        <f t="shared" si="10"/>
        <v>M</v>
      </c>
      <c r="AX66" s="215"/>
      <c r="AY66" s="214">
        <f t="shared" si="11"/>
        <v>0</v>
      </c>
      <c r="AZ66" s="214">
        <f t="shared" si="11"/>
        <v>0</v>
      </c>
      <c r="BA66" s="214">
        <f t="shared" si="11"/>
        <v>0</v>
      </c>
      <c r="BB66" s="214">
        <f t="shared" si="11"/>
        <v>0</v>
      </c>
      <c r="BC66" s="214">
        <f t="shared" si="11"/>
        <v>0</v>
      </c>
      <c r="BD66" s="214">
        <f t="shared" si="11"/>
        <v>0</v>
      </c>
      <c r="BE66" s="214">
        <f t="shared" si="11"/>
        <v>0</v>
      </c>
      <c r="BH66" s="217" t="str">
        <f>IF(OR(E66="",F66="",G66=""),"M",1)</f>
        <v>M</v>
      </c>
      <c r="BI66" s="217" t="str">
        <f>IF(OR(H66="",I66="",J66=""),"M",1)</f>
        <v>M</v>
      </c>
      <c r="BJ66" s="217" t="str">
        <f>IF(OR(K66="",L66="",M66=""),"M",1)</f>
        <v>M</v>
      </c>
      <c r="BK66" s="217" t="str">
        <f>IF(OR(N66="",O66="",P66=""),"M",1)</f>
        <v>M</v>
      </c>
      <c r="BL66" s="217" t="str">
        <f>IF(OR(Q66="",R66="",S66=""),"M",1)</f>
        <v>M</v>
      </c>
      <c r="BM66" s="217">
        <f>IF(AND(BH66="M",BI66="M",BJ66="M",BK66="M",BL66="M",D66=""),0,1)</f>
        <v>0</v>
      </c>
      <c r="BN66" s="216"/>
      <c r="BO66" s="216"/>
      <c r="BP66" s="218"/>
    </row>
    <row r="67" spans="1:68" ht="17.25" customHeight="1">
      <c r="A67" s="296">
        <v>-32</v>
      </c>
      <c r="B67" s="297">
        <f t="shared" si="0"/>
        <v>-32</v>
      </c>
      <c r="C67" s="298">
        <f t="shared" si="0"/>
        <v>-32</v>
      </c>
      <c r="D67" s="241"/>
      <c r="E67" s="46"/>
      <c r="F67" s="47"/>
      <c r="G67" s="48"/>
      <c r="H67" s="46"/>
      <c r="I67" s="47"/>
      <c r="J67" s="48"/>
      <c r="K67" s="46"/>
      <c r="L67" s="47"/>
      <c r="M67" s="48"/>
      <c r="N67" s="46"/>
      <c r="O67" s="47"/>
      <c r="P67" s="48"/>
      <c r="Q67" s="46"/>
      <c r="R67" s="47"/>
      <c r="S67" s="94"/>
      <c r="T67" s="92" t="str">
        <f>IF(BM67=0,"M",IF(D67="p1",AK67,IF(D67="p2",AL67,IF(D67="A",0,((E67*F67)*G67/0.6)+((H67*I67)*J67/0.6)+((K67*L67)*M67/0.6)+((N67*O67)*P67/0.6)+((Q67*R67)*S67/0.6)))))</f>
        <v>M</v>
      </c>
      <c r="U67" s="264" t="str">
        <f>IF(T67=Calculator!T67,"VALID","ERROR")</f>
        <v>VALID</v>
      </c>
      <c r="V67" s="127"/>
      <c r="W67" s="305">
        <f t="shared" si="1"/>
        <v>0</v>
      </c>
      <c r="X67" s="209"/>
      <c r="Y67" s="209"/>
      <c r="Z67" s="209"/>
      <c r="AA67" s="209"/>
      <c r="AB67" s="257"/>
      <c r="AC67" s="261"/>
      <c r="AD67" s="234"/>
      <c r="AE67" s="234"/>
      <c r="AF67" s="234"/>
      <c r="AG67" s="234"/>
      <c r="AH67" s="234"/>
      <c r="AK67" s="212" t="b">
        <f t="shared" si="2"/>
        <v>0</v>
      </c>
      <c r="AL67" s="212" t="b">
        <f t="shared" si="3"/>
        <v>0</v>
      </c>
      <c r="AM67" s="212" t="str">
        <f>IF(D67="p1",AP67,"no")</f>
        <v>no</v>
      </c>
      <c r="AN67" s="212" t="str">
        <f>IF(D67="p2",AP67,"no")</f>
        <v>no</v>
      </c>
      <c r="AO67" s="213"/>
      <c r="AP67" s="212" t="e">
        <f>WEEKDAY(C67)</f>
        <v>#NUM!</v>
      </c>
      <c r="AQ67" s="292" t="str">
        <f t="shared" si="10"/>
        <v>M</v>
      </c>
      <c r="AR67" s="292" t="str">
        <f t="shared" si="10"/>
        <v>M</v>
      </c>
      <c r="AS67" s="292" t="str">
        <f t="shared" si="10"/>
        <v>M</v>
      </c>
      <c r="AT67" s="292" t="str">
        <f t="shared" si="10"/>
        <v>M</v>
      </c>
      <c r="AU67" s="292" t="str">
        <f t="shared" si="10"/>
        <v>M</v>
      </c>
      <c r="AV67" s="292" t="str">
        <f t="shared" si="10"/>
        <v>M</v>
      </c>
      <c r="AW67" s="292" t="str">
        <f t="shared" si="10"/>
        <v>M</v>
      </c>
      <c r="AX67" s="215"/>
      <c r="AY67" s="214">
        <f t="shared" si="11"/>
        <v>0</v>
      </c>
      <c r="AZ67" s="214">
        <f t="shared" si="11"/>
        <v>0</v>
      </c>
      <c r="BA67" s="214">
        <f t="shared" si="11"/>
        <v>0</v>
      </c>
      <c r="BB67" s="214">
        <f t="shared" si="11"/>
        <v>0</v>
      </c>
      <c r="BC67" s="214">
        <f t="shared" si="11"/>
        <v>0</v>
      </c>
      <c r="BD67" s="214">
        <f t="shared" si="11"/>
        <v>0</v>
      </c>
      <c r="BE67" s="214">
        <f t="shared" si="11"/>
        <v>0</v>
      </c>
      <c r="BH67" s="217" t="str">
        <f>IF(OR(E67="",F67="",G67=""),"M",1)</f>
        <v>M</v>
      </c>
      <c r="BI67" s="217" t="str">
        <f>IF(OR(H67="",I67="",J67=""),"M",1)</f>
        <v>M</v>
      </c>
      <c r="BJ67" s="217" t="str">
        <f>IF(OR(K67="",L67="",M67=""),"M",1)</f>
        <v>M</v>
      </c>
      <c r="BK67" s="217" t="str">
        <f>IF(OR(N67="",O67="",P67=""),"M",1)</f>
        <v>M</v>
      </c>
      <c r="BL67" s="217" t="str">
        <f>IF(OR(Q67="",R67="",S67=""),"M",1)</f>
        <v>M</v>
      </c>
      <c r="BM67" s="217">
        <f>IF(AND(BH67="M",BI67="M",BJ67="M",BK67="M",BL67="M",D67=""),0,1)</f>
        <v>0</v>
      </c>
      <c r="BN67" s="216"/>
      <c r="BO67" s="216"/>
      <c r="BP67" s="218"/>
    </row>
    <row r="68" spans="1:68" ht="17.25" customHeight="1">
      <c r="A68" s="296">
        <v>-31</v>
      </c>
      <c r="B68" s="297">
        <f t="shared" si="0"/>
        <v>-31</v>
      </c>
      <c r="C68" s="298">
        <f t="shared" si="0"/>
        <v>-31</v>
      </c>
      <c r="D68" s="242"/>
      <c r="E68" s="46"/>
      <c r="F68" s="47"/>
      <c r="G68" s="48"/>
      <c r="H68" s="46"/>
      <c r="I68" s="47"/>
      <c r="J68" s="48"/>
      <c r="K68" s="46"/>
      <c r="L68" s="47"/>
      <c r="M68" s="48"/>
      <c r="N68" s="46"/>
      <c r="O68" s="47"/>
      <c r="P68" s="48"/>
      <c r="Q68" s="46"/>
      <c r="R68" s="47"/>
      <c r="S68" s="94"/>
      <c r="T68" s="92" t="str">
        <f>IF(BM68=0,"M",IF(D68="p1",AK68,IF(D68="p2",AL68,IF(D68="A",0,((E68*F68)*G68/0.6)+((H68*I68)*J68/0.6)+((K68*L68)*M68/0.6)+((N68*O68)*P68/0.6)+((Q68*R68)*S68/0.6)))))</f>
        <v>M</v>
      </c>
      <c r="U68" s="264" t="str">
        <f>IF(T68=Calculator!T68,"VALID","ERROR")</f>
        <v>VALID</v>
      </c>
      <c r="V68" s="127"/>
      <c r="W68" s="305">
        <f t="shared" si="1"/>
        <v>0</v>
      </c>
      <c r="X68" s="209"/>
      <c r="Y68" s="209"/>
      <c r="Z68" s="209"/>
      <c r="AA68" s="209"/>
      <c r="AB68" s="257"/>
      <c r="AC68" s="261"/>
      <c r="AD68" s="234"/>
      <c r="AE68" s="234"/>
      <c r="AF68" s="234"/>
      <c r="AG68" s="234"/>
      <c r="AH68" s="234"/>
      <c r="AK68" s="212" t="b">
        <f t="shared" si="2"/>
        <v>0</v>
      </c>
      <c r="AL68" s="212" t="b">
        <f t="shared" si="3"/>
        <v>0</v>
      </c>
      <c r="AM68" s="212" t="str">
        <f>IF(D68="p1",AP68,"no")</f>
        <v>no</v>
      </c>
      <c r="AN68" s="212" t="str">
        <f>IF(D68="p2",AP68,"no")</f>
        <v>no</v>
      </c>
      <c r="AO68" s="213"/>
      <c r="AP68" s="212" t="e">
        <f>WEEKDAY(C68)</f>
        <v>#NUM!</v>
      </c>
      <c r="AQ68" s="292" t="str">
        <f t="shared" si="10"/>
        <v>M</v>
      </c>
      <c r="AR68" s="292" t="str">
        <f t="shared" si="10"/>
        <v>M</v>
      </c>
      <c r="AS68" s="292" t="str">
        <f t="shared" si="10"/>
        <v>M</v>
      </c>
      <c r="AT68" s="292" t="str">
        <f t="shared" si="10"/>
        <v>M</v>
      </c>
      <c r="AU68" s="292" t="str">
        <f t="shared" si="10"/>
        <v>M</v>
      </c>
      <c r="AV68" s="292" t="str">
        <f t="shared" si="10"/>
        <v>M</v>
      </c>
      <c r="AW68" s="292" t="str">
        <f t="shared" si="10"/>
        <v>M</v>
      </c>
      <c r="AX68" s="215"/>
      <c r="AY68" s="214">
        <f t="shared" si="11"/>
        <v>0</v>
      </c>
      <c r="AZ68" s="214">
        <f t="shared" si="11"/>
        <v>0</v>
      </c>
      <c r="BA68" s="214">
        <f t="shared" si="11"/>
        <v>0</v>
      </c>
      <c r="BB68" s="214">
        <f t="shared" si="11"/>
        <v>0</v>
      </c>
      <c r="BC68" s="214">
        <f t="shared" si="11"/>
        <v>0</v>
      </c>
      <c r="BD68" s="214">
        <f t="shared" si="11"/>
        <v>0</v>
      </c>
      <c r="BE68" s="214">
        <f t="shared" si="11"/>
        <v>0</v>
      </c>
      <c r="BH68" s="217" t="str">
        <f>IF(OR(E68="",F68="",G68=""),"M",1)</f>
        <v>M</v>
      </c>
      <c r="BI68" s="217" t="str">
        <f>IF(OR(H68="",I68="",J68=""),"M",1)</f>
        <v>M</v>
      </c>
      <c r="BJ68" s="217" t="str">
        <f>IF(OR(K68="",L68="",M68=""),"M",1)</f>
        <v>M</v>
      </c>
      <c r="BK68" s="217" t="str">
        <f>IF(OR(N68="",O68="",P68=""),"M",1)</f>
        <v>M</v>
      </c>
      <c r="BL68" s="217" t="str">
        <f>IF(OR(Q68="",R68="",S68=""),"M",1)</f>
        <v>M</v>
      </c>
      <c r="BM68" s="217">
        <f>IF(AND(BH68="M",BI68="M",BJ68="M",BK68="M",BL68="M",D68=""),0,1)</f>
        <v>0</v>
      </c>
      <c r="BN68" s="216"/>
      <c r="BO68" s="216"/>
      <c r="BP68" s="218"/>
    </row>
    <row r="69" spans="1:68" ht="17.25" customHeight="1">
      <c r="A69" s="296">
        <v>-30</v>
      </c>
      <c r="B69" s="297">
        <f t="shared" si="0"/>
        <v>-30</v>
      </c>
      <c r="C69" s="298">
        <f t="shared" si="0"/>
        <v>-30</v>
      </c>
      <c r="D69" s="241"/>
      <c r="E69" s="46"/>
      <c r="F69" s="47"/>
      <c r="G69" s="48"/>
      <c r="H69" s="46"/>
      <c r="I69" s="47"/>
      <c r="J69" s="48"/>
      <c r="K69" s="46"/>
      <c r="L69" s="47"/>
      <c r="M69" s="48"/>
      <c r="N69" s="46"/>
      <c r="O69" s="47"/>
      <c r="P69" s="48"/>
      <c r="Q69" s="46"/>
      <c r="R69" s="47"/>
      <c r="S69" s="94"/>
      <c r="T69" s="92" t="str">
        <f>IF(BM69=0,"M",IF(D69="p1",AK69,IF(D69="p2",AL69,IF(D69="A",0,((E69*F69)*G69/0.6)+((H69*I69)*J69/0.6)+((K69*L69)*M69/0.6)+((N69*O69)*P69/0.6)+((Q69*R69)*S69/0.6)))))</f>
        <v>M</v>
      </c>
      <c r="U69" s="264" t="str">
        <f>IF(T69=Calculator!T69,"VALID","ERROR")</f>
        <v>VALID</v>
      </c>
      <c r="V69" s="127"/>
      <c r="W69" s="305">
        <f t="shared" si="1"/>
        <v>0</v>
      </c>
      <c r="X69" s="209"/>
      <c r="Y69" s="209"/>
      <c r="Z69" s="209"/>
      <c r="AA69" s="209"/>
      <c r="AB69" s="257"/>
      <c r="AC69" s="261"/>
      <c r="AD69" s="234"/>
      <c r="AE69" s="234"/>
      <c r="AF69" s="234"/>
      <c r="AG69" s="234"/>
      <c r="AH69" s="234"/>
      <c r="AK69" s="212" t="b">
        <f t="shared" si="2"/>
        <v>0</v>
      </c>
      <c r="AL69" s="212" t="b">
        <f t="shared" si="3"/>
        <v>0</v>
      </c>
      <c r="AM69" s="212" t="str">
        <f>IF(D69="p1",AP69,"no")</f>
        <v>no</v>
      </c>
      <c r="AN69" s="212" t="str">
        <f>IF(D69="p2",AP69,"no")</f>
        <v>no</v>
      </c>
      <c r="AO69" s="213"/>
      <c r="AP69" s="212" t="e">
        <f>WEEKDAY(C69)</f>
        <v>#NUM!</v>
      </c>
      <c r="AQ69" s="292" t="str">
        <f t="shared" si="10"/>
        <v>M</v>
      </c>
      <c r="AR69" s="292" t="str">
        <f t="shared" si="10"/>
        <v>M</v>
      </c>
      <c r="AS69" s="292" t="str">
        <f t="shared" si="10"/>
        <v>M</v>
      </c>
      <c r="AT69" s="292" t="str">
        <f t="shared" si="10"/>
        <v>M</v>
      </c>
      <c r="AU69" s="292" t="str">
        <f t="shared" si="10"/>
        <v>M</v>
      </c>
      <c r="AV69" s="292" t="str">
        <f t="shared" si="10"/>
        <v>M</v>
      </c>
      <c r="AW69" s="292" t="str">
        <f t="shared" si="10"/>
        <v>M</v>
      </c>
      <c r="AX69" s="215"/>
      <c r="AY69" s="214">
        <f t="shared" si="11"/>
        <v>0</v>
      </c>
      <c r="AZ69" s="214">
        <f t="shared" si="11"/>
        <v>0</v>
      </c>
      <c r="BA69" s="214">
        <f t="shared" si="11"/>
        <v>0</v>
      </c>
      <c r="BB69" s="214">
        <f t="shared" si="11"/>
        <v>0</v>
      </c>
      <c r="BC69" s="214">
        <f t="shared" si="11"/>
        <v>0</v>
      </c>
      <c r="BD69" s="214">
        <f t="shared" si="11"/>
        <v>0</v>
      </c>
      <c r="BE69" s="214">
        <f t="shared" si="11"/>
        <v>0</v>
      </c>
      <c r="BH69" s="217" t="str">
        <f>IF(OR(E69="",F69="",G69=""),"M",1)</f>
        <v>M</v>
      </c>
      <c r="BI69" s="217" t="str">
        <f>IF(OR(H69="",I69="",J69=""),"M",1)</f>
        <v>M</v>
      </c>
      <c r="BJ69" s="217" t="str">
        <f>IF(OR(K69="",L69="",M69=""),"M",1)</f>
        <v>M</v>
      </c>
      <c r="BK69" s="217" t="str">
        <f>IF(OR(N69="",O69="",P69=""),"M",1)</f>
        <v>M</v>
      </c>
      <c r="BL69" s="217" t="str">
        <f>IF(OR(Q69="",R69="",S69=""),"M",1)</f>
        <v>M</v>
      </c>
      <c r="BM69" s="217">
        <f>IF(AND(BH69="M",BI69="M",BJ69="M",BK69="M",BL69="M",D69=""),0,1)</f>
        <v>0</v>
      </c>
      <c r="BN69" s="216"/>
      <c r="BO69" s="216"/>
      <c r="BP69" s="218"/>
    </row>
    <row r="70" spans="1:68" ht="17.25" customHeight="1">
      <c r="A70" s="296">
        <v>-29</v>
      </c>
      <c r="B70" s="297">
        <f t="shared" si="0"/>
        <v>-29</v>
      </c>
      <c r="C70" s="298">
        <f t="shared" si="0"/>
        <v>-29</v>
      </c>
      <c r="D70" s="242"/>
      <c r="E70" s="46"/>
      <c r="F70" s="47"/>
      <c r="G70" s="48"/>
      <c r="H70" s="46"/>
      <c r="I70" s="47"/>
      <c r="J70" s="48"/>
      <c r="K70" s="46"/>
      <c r="L70" s="47"/>
      <c r="M70" s="48"/>
      <c r="N70" s="46"/>
      <c r="O70" s="47"/>
      <c r="P70" s="48"/>
      <c r="Q70" s="46"/>
      <c r="R70" s="47"/>
      <c r="S70" s="94"/>
      <c r="T70" s="92" t="str">
        <f>IF(BM70=0,"M",IF(D70="p1",AK70,IF(D70="p2",AL70,IF(D70="A",0,((E70*F70)*G70/0.6)+((H70*I70)*J70/0.6)+((K70*L70)*M70/0.6)+((N70*O70)*P70/0.6)+((Q70*R70)*S70/0.6)))))</f>
        <v>M</v>
      </c>
      <c r="U70" s="264" t="str">
        <f>IF(T70=Calculator!T70,"VALID","ERROR")</f>
        <v>VALID</v>
      </c>
      <c r="V70" s="127"/>
      <c r="W70" s="305">
        <f t="shared" si="1"/>
        <v>0</v>
      </c>
      <c r="X70" s="209"/>
      <c r="Y70" s="209"/>
      <c r="Z70" s="209"/>
      <c r="AA70" s="209"/>
      <c r="AB70" s="257"/>
      <c r="AC70" s="261"/>
      <c r="AD70" s="234"/>
      <c r="AE70" s="234"/>
      <c r="AF70" s="234"/>
      <c r="AG70" s="234"/>
      <c r="AH70" s="234"/>
      <c r="AK70" s="212" t="b">
        <f t="shared" si="2"/>
        <v>0</v>
      </c>
      <c r="AL70" s="212" t="b">
        <f t="shared" si="3"/>
        <v>0</v>
      </c>
      <c r="AM70" s="212" t="str">
        <f>IF(D70="p1",AP70,"no")</f>
        <v>no</v>
      </c>
      <c r="AN70" s="212" t="str">
        <f>IF(D70="p2",AP70,"no")</f>
        <v>no</v>
      </c>
      <c r="AO70" s="213"/>
      <c r="AP70" s="212" t="e">
        <f>WEEKDAY(C70)</f>
        <v>#NUM!</v>
      </c>
      <c r="AQ70" s="292" t="str">
        <f t="shared" si="10"/>
        <v>M</v>
      </c>
      <c r="AR70" s="292" t="str">
        <f t="shared" si="10"/>
        <v>M</v>
      </c>
      <c r="AS70" s="292" t="str">
        <f t="shared" si="10"/>
        <v>M</v>
      </c>
      <c r="AT70" s="292" t="str">
        <f t="shared" si="10"/>
        <v>M</v>
      </c>
      <c r="AU70" s="292" t="str">
        <f t="shared" si="10"/>
        <v>M</v>
      </c>
      <c r="AV70" s="292" t="str">
        <f t="shared" si="10"/>
        <v>M</v>
      </c>
      <c r="AW70" s="292" t="str">
        <f t="shared" si="10"/>
        <v>M</v>
      </c>
      <c r="AX70" s="215"/>
      <c r="AY70" s="214">
        <f t="shared" si="11"/>
        <v>0</v>
      </c>
      <c r="AZ70" s="214">
        <f t="shared" si="11"/>
        <v>0</v>
      </c>
      <c r="BA70" s="214">
        <f t="shared" si="11"/>
        <v>0</v>
      </c>
      <c r="BB70" s="214">
        <f t="shared" si="11"/>
        <v>0</v>
      </c>
      <c r="BC70" s="214">
        <f t="shared" si="11"/>
        <v>0</v>
      </c>
      <c r="BD70" s="214">
        <f t="shared" si="11"/>
        <v>0</v>
      </c>
      <c r="BE70" s="214">
        <f t="shared" si="11"/>
        <v>0</v>
      </c>
      <c r="BH70" s="217" t="str">
        <f>IF(OR(E70="",F70="",G70=""),"M",1)</f>
        <v>M</v>
      </c>
      <c r="BI70" s="217" t="str">
        <f>IF(OR(H70="",I70="",J70=""),"M",1)</f>
        <v>M</v>
      </c>
      <c r="BJ70" s="217" t="str">
        <f>IF(OR(K70="",L70="",M70=""),"M",1)</f>
        <v>M</v>
      </c>
      <c r="BK70" s="217" t="str">
        <f>IF(OR(N70="",O70="",P70=""),"M",1)</f>
        <v>M</v>
      </c>
      <c r="BL70" s="217" t="str">
        <f>IF(OR(Q70="",R70="",S70=""),"M",1)</f>
        <v>M</v>
      </c>
      <c r="BM70" s="217">
        <f>IF(AND(BH70="M",BI70="M",BJ70="M",BK70="M",BL70="M",D70=""),0,1)</f>
        <v>0</v>
      </c>
      <c r="BN70" s="216"/>
      <c r="BO70" s="216"/>
      <c r="BP70" s="218"/>
    </row>
    <row r="71" spans="1:68" ht="17.25" customHeight="1">
      <c r="A71" s="296">
        <v>-28</v>
      </c>
      <c r="B71" s="297">
        <f t="shared" si="0"/>
        <v>-28</v>
      </c>
      <c r="C71" s="298">
        <f t="shared" si="0"/>
        <v>-28</v>
      </c>
      <c r="D71" s="241"/>
      <c r="E71" s="46"/>
      <c r="F71" s="47"/>
      <c r="G71" s="48"/>
      <c r="H71" s="46"/>
      <c r="I71" s="47"/>
      <c r="J71" s="48"/>
      <c r="K71" s="46"/>
      <c r="L71" s="47"/>
      <c r="M71" s="48"/>
      <c r="N71" s="46"/>
      <c r="O71" s="47"/>
      <c r="P71" s="48"/>
      <c r="Q71" s="46"/>
      <c r="R71" s="47"/>
      <c r="S71" s="94"/>
      <c r="T71" s="92" t="str">
        <f>IF(BM71=0,"M",IF(D71="p1",AK71,IF(D71="p2",AL71,IF(D71="A",0,((E71*F71)*G71/0.6)+((H71*I71)*J71/0.6)+((K71*L71)*M71/0.6)+((N71*O71)*P71/0.6)+((Q71*R71)*S71/0.6)))))</f>
        <v>M</v>
      </c>
      <c r="U71" s="264" t="str">
        <f>IF(T71=Calculator!T71,"VALID","ERROR")</f>
        <v>VALID</v>
      </c>
      <c r="V71" s="127"/>
      <c r="W71" s="305">
        <f t="shared" si="1"/>
        <v>0</v>
      </c>
      <c r="X71" s="209"/>
      <c r="Y71" s="209"/>
      <c r="Z71" s="209"/>
      <c r="AA71" s="209"/>
      <c r="AB71" s="257"/>
      <c r="AC71" s="261"/>
      <c r="AD71" s="234"/>
      <c r="AE71" s="234"/>
      <c r="AF71" s="234"/>
      <c r="AG71" s="234"/>
      <c r="AH71" s="234"/>
      <c r="AK71" s="212" t="b">
        <f t="shared" si="2"/>
        <v>0</v>
      </c>
      <c r="AL71" s="212" t="b">
        <f t="shared" si="3"/>
        <v>0</v>
      </c>
      <c r="AM71" s="212" t="str">
        <f>IF(D71="p1",AP71,"no")</f>
        <v>no</v>
      </c>
      <c r="AN71" s="212" t="str">
        <f>IF(D71="p2",AP71,"no")</f>
        <v>no</v>
      </c>
      <c r="AO71" s="213"/>
      <c r="AP71" s="212" t="e">
        <f>WEEKDAY(C71)</f>
        <v>#NUM!</v>
      </c>
      <c r="AQ71" s="292" t="str">
        <f t="shared" si="10"/>
        <v>M</v>
      </c>
      <c r="AR71" s="292" t="str">
        <f t="shared" si="10"/>
        <v>M</v>
      </c>
      <c r="AS71" s="292" t="str">
        <f t="shared" si="10"/>
        <v>M</v>
      </c>
      <c r="AT71" s="292" t="str">
        <f t="shared" si="10"/>
        <v>M</v>
      </c>
      <c r="AU71" s="292" t="str">
        <f t="shared" si="10"/>
        <v>M</v>
      </c>
      <c r="AV71" s="292" t="str">
        <f t="shared" si="10"/>
        <v>M</v>
      </c>
      <c r="AW71" s="292" t="str">
        <f t="shared" si="10"/>
        <v>M</v>
      </c>
      <c r="AX71" s="215"/>
      <c r="AY71" s="214">
        <f t="shared" si="11"/>
        <v>0</v>
      </c>
      <c r="AZ71" s="214">
        <f t="shared" si="11"/>
        <v>0</v>
      </c>
      <c r="BA71" s="214">
        <f t="shared" si="11"/>
        <v>0</v>
      </c>
      <c r="BB71" s="214">
        <f t="shared" si="11"/>
        <v>0</v>
      </c>
      <c r="BC71" s="214">
        <f t="shared" si="11"/>
        <v>0</v>
      </c>
      <c r="BD71" s="214">
        <f t="shared" si="11"/>
        <v>0</v>
      </c>
      <c r="BE71" s="214">
        <f t="shared" si="11"/>
        <v>0</v>
      </c>
      <c r="BH71" s="217" t="str">
        <f>IF(OR(E71="",F71="",G71=""),"M",1)</f>
        <v>M</v>
      </c>
      <c r="BI71" s="217" t="str">
        <f>IF(OR(H71="",I71="",J71=""),"M",1)</f>
        <v>M</v>
      </c>
      <c r="BJ71" s="217" t="str">
        <f>IF(OR(K71="",L71="",M71=""),"M",1)</f>
        <v>M</v>
      </c>
      <c r="BK71" s="217" t="str">
        <f>IF(OR(N71="",O71="",P71=""),"M",1)</f>
        <v>M</v>
      </c>
      <c r="BL71" s="217" t="str">
        <f>IF(OR(Q71="",R71="",S71=""),"M",1)</f>
        <v>M</v>
      </c>
      <c r="BM71" s="217">
        <f>IF(AND(BH71="M",BI71="M",BJ71="M",BK71="M",BL71="M",D71=""),0,1)</f>
        <v>0</v>
      </c>
      <c r="BN71" s="216"/>
      <c r="BO71" s="216"/>
      <c r="BP71" s="218"/>
    </row>
    <row r="72" spans="1:68" ht="17.25" customHeight="1">
      <c r="A72" s="296">
        <v>-27</v>
      </c>
      <c r="B72" s="297">
        <f t="shared" si="0"/>
        <v>-27</v>
      </c>
      <c r="C72" s="298">
        <f t="shared" si="0"/>
        <v>-27</v>
      </c>
      <c r="D72" s="242"/>
      <c r="E72" s="46"/>
      <c r="F72" s="47"/>
      <c r="G72" s="48"/>
      <c r="H72" s="46"/>
      <c r="I72" s="47"/>
      <c r="J72" s="48"/>
      <c r="K72" s="46"/>
      <c r="L72" s="47"/>
      <c r="M72" s="48"/>
      <c r="N72" s="46"/>
      <c r="O72" s="47"/>
      <c r="P72" s="48"/>
      <c r="Q72" s="46"/>
      <c r="R72" s="47"/>
      <c r="S72" s="94"/>
      <c r="T72" s="92" t="str">
        <f>IF(BM72=0,"M",IF(D72="p1",AK72,IF(D72="p2",AL72,IF(D72="A",0,((E72*F72)*G72/0.6)+((H72*I72)*J72/0.6)+((K72*L72)*M72/0.6)+((N72*O72)*P72/0.6)+((Q72*R72)*S72/0.6)))))</f>
        <v>M</v>
      </c>
      <c r="U72" s="264" t="str">
        <f>IF(T72=Calculator!T72,"VALID","ERROR")</f>
        <v>VALID</v>
      </c>
      <c r="V72" s="127"/>
      <c r="W72" s="305">
        <f t="shared" si="1"/>
        <v>0</v>
      </c>
      <c r="X72" s="209"/>
      <c r="Y72" s="209"/>
      <c r="Z72" s="209"/>
      <c r="AA72" s="209"/>
      <c r="AB72" s="257"/>
      <c r="AC72" s="261"/>
      <c r="AD72" s="234"/>
      <c r="AE72" s="234"/>
      <c r="AF72" s="234"/>
      <c r="AG72" s="234"/>
      <c r="AH72" s="234"/>
      <c r="AK72" s="212" t="b">
        <f t="shared" si="2"/>
        <v>0</v>
      </c>
      <c r="AL72" s="212" t="b">
        <f t="shared" si="3"/>
        <v>0</v>
      </c>
      <c r="AM72" s="212" t="str">
        <f>IF(D72="p1",AP72,"no")</f>
        <v>no</v>
      </c>
      <c r="AN72" s="212" t="str">
        <f>IF(D72="p2",AP72,"no")</f>
        <v>no</v>
      </c>
      <c r="AO72" s="213"/>
      <c r="AP72" s="212" t="e">
        <f>WEEKDAY(C72)</f>
        <v>#NUM!</v>
      </c>
      <c r="AQ72" s="292" t="str">
        <f t="shared" si="10"/>
        <v>M</v>
      </c>
      <c r="AR72" s="292" t="str">
        <f t="shared" si="10"/>
        <v>M</v>
      </c>
      <c r="AS72" s="292" t="str">
        <f t="shared" si="10"/>
        <v>M</v>
      </c>
      <c r="AT72" s="292" t="str">
        <f t="shared" si="10"/>
        <v>M</v>
      </c>
      <c r="AU72" s="292" t="str">
        <f t="shared" si="10"/>
        <v>M</v>
      </c>
      <c r="AV72" s="292" t="str">
        <f t="shared" si="10"/>
        <v>M</v>
      </c>
      <c r="AW72" s="292" t="str">
        <f t="shared" si="10"/>
        <v>M</v>
      </c>
      <c r="AX72" s="215"/>
      <c r="AY72" s="214">
        <f t="shared" si="11"/>
        <v>0</v>
      </c>
      <c r="AZ72" s="214">
        <f t="shared" si="11"/>
        <v>0</v>
      </c>
      <c r="BA72" s="214">
        <f t="shared" si="11"/>
        <v>0</v>
      </c>
      <c r="BB72" s="214">
        <f t="shared" si="11"/>
        <v>0</v>
      </c>
      <c r="BC72" s="214">
        <f t="shared" si="11"/>
        <v>0</v>
      </c>
      <c r="BD72" s="214">
        <f t="shared" si="11"/>
        <v>0</v>
      </c>
      <c r="BE72" s="214">
        <f t="shared" si="11"/>
        <v>0</v>
      </c>
      <c r="BH72" s="217" t="str">
        <f>IF(OR(E72="",F72="",G72=""),"M",1)</f>
        <v>M</v>
      </c>
      <c r="BI72" s="217" t="str">
        <f>IF(OR(H72="",I72="",J72=""),"M",1)</f>
        <v>M</v>
      </c>
      <c r="BJ72" s="217" t="str">
        <f>IF(OR(K72="",L72="",M72=""),"M",1)</f>
        <v>M</v>
      </c>
      <c r="BK72" s="217" t="str">
        <f>IF(OR(N72="",O72="",P72=""),"M",1)</f>
        <v>M</v>
      </c>
      <c r="BL72" s="217" t="str">
        <f>IF(OR(Q72="",R72="",S72=""),"M",1)</f>
        <v>M</v>
      </c>
      <c r="BM72" s="217">
        <f>IF(AND(BH72="M",BI72="M",BJ72="M",BK72="M",BL72="M",D72=""),0,1)</f>
        <v>0</v>
      </c>
      <c r="BN72" s="216"/>
      <c r="BO72" s="216"/>
      <c r="BP72" s="218"/>
    </row>
    <row r="73" spans="1:68" ht="17.25" customHeight="1">
      <c r="A73" s="296">
        <v>-26</v>
      </c>
      <c r="B73" s="297">
        <f t="shared" ref="B73:C96" si="12">B74-1</f>
        <v>-26</v>
      </c>
      <c r="C73" s="298">
        <f t="shared" si="12"/>
        <v>-26</v>
      </c>
      <c r="D73" s="241"/>
      <c r="E73" s="46"/>
      <c r="F73" s="47"/>
      <c r="G73" s="48"/>
      <c r="H73" s="46"/>
      <c r="I73" s="47"/>
      <c r="J73" s="48"/>
      <c r="K73" s="46"/>
      <c r="L73" s="47"/>
      <c r="M73" s="48"/>
      <c r="N73" s="46"/>
      <c r="O73" s="47"/>
      <c r="P73" s="48"/>
      <c r="Q73" s="46"/>
      <c r="R73" s="47"/>
      <c r="S73" s="94"/>
      <c r="T73" s="92" t="str">
        <f>IF(BM73=0,"M",IF(D73="p1",AK73,IF(D73="p2",AL73,IF(D73="A",0,((E73*F73)*G73/0.6)+((H73*I73)*J73/0.6)+((K73*L73)*M73/0.6)+((N73*O73)*P73/0.6)+((Q73*R73)*S73/0.6)))))</f>
        <v>M</v>
      </c>
      <c r="U73" s="264" t="str">
        <f>IF(T73=Calculator!T73,"VALID","ERROR")</f>
        <v>VALID</v>
      </c>
      <c r="V73" s="127"/>
      <c r="W73" s="305">
        <f t="shared" ref="W73:W97" si="13">IF(U73="VALID",0,IF(U73="ERROR",1,0))</f>
        <v>0</v>
      </c>
      <c r="X73" s="209"/>
      <c r="Y73" s="209"/>
      <c r="Z73" s="209"/>
      <c r="AA73" s="209"/>
      <c r="AB73" s="257"/>
      <c r="AC73" s="261"/>
      <c r="AD73" s="234"/>
      <c r="AE73" s="234"/>
      <c r="AF73" s="234"/>
      <c r="AG73" s="234"/>
      <c r="AH73" s="234"/>
      <c r="AK73" s="212" t="b">
        <f t="shared" ref="AK73:AK136" si="14">IF(AM73=1,AW73,IF(AM73=2,AQ73,IF(AM73=3,AR73,IF(AM73=4,AS73,IF(AM73=5,AT73,IF(AM73=6,AU73,IF(AM73=7,AV73)))))))</f>
        <v>0</v>
      </c>
      <c r="AL73" s="212" t="b">
        <f t="shared" si="3"/>
        <v>0</v>
      </c>
      <c r="AM73" s="212" t="str">
        <f>IF(D73="p1",AP73,"no")</f>
        <v>no</v>
      </c>
      <c r="AN73" s="212" t="str">
        <f>IF(D73="p2",AP73,"no")</f>
        <v>no</v>
      </c>
      <c r="AO73" s="213"/>
      <c r="AP73" s="212" t="e">
        <f>WEEKDAY(C73)</f>
        <v>#NUM!</v>
      </c>
      <c r="AQ73" s="292" t="str">
        <f t="shared" si="10"/>
        <v>M</v>
      </c>
      <c r="AR73" s="292" t="str">
        <f t="shared" si="10"/>
        <v>M</v>
      </c>
      <c r="AS73" s="292" t="str">
        <f t="shared" si="10"/>
        <v>M</v>
      </c>
      <c r="AT73" s="292" t="str">
        <f t="shared" si="10"/>
        <v>M</v>
      </c>
      <c r="AU73" s="292" t="str">
        <f t="shared" si="10"/>
        <v>M</v>
      </c>
      <c r="AV73" s="292" t="str">
        <f t="shared" si="10"/>
        <v>M</v>
      </c>
      <c r="AW73" s="292" t="str">
        <f t="shared" si="10"/>
        <v>M</v>
      </c>
      <c r="AX73" s="215"/>
      <c r="AY73" s="214">
        <f t="shared" si="11"/>
        <v>0</v>
      </c>
      <c r="AZ73" s="214">
        <f t="shared" si="11"/>
        <v>0</v>
      </c>
      <c r="BA73" s="214">
        <f t="shared" si="11"/>
        <v>0</v>
      </c>
      <c r="BB73" s="214">
        <f t="shared" si="11"/>
        <v>0</v>
      </c>
      <c r="BC73" s="214">
        <f t="shared" si="11"/>
        <v>0</v>
      </c>
      <c r="BD73" s="214">
        <f t="shared" si="11"/>
        <v>0</v>
      </c>
      <c r="BE73" s="214">
        <f t="shared" si="11"/>
        <v>0</v>
      </c>
      <c r="BH73" s="217" t="str">
        <f>IF(OR(E73="",F73="",G73=""),"M",1)</f>
        <v>M</v>
      </c>
      <c r="BI73" s="217" t="str">
        <f>IF(OR(H73="",I73="",J73=""),"M",1)</f>
        <v>M</v>
      </c>
      <c r="BJ73" s="217" t="str">
        <f>IF(OR(K73="",L73="",M73=""),"M",1)</f>
        <v>M</v>
      </c>
      <c r="BK73" s="217" t="str">
        <f>IF(OR(N73="",O73="",P73=""),"M",1)</f>
        <v>M</v>
      </c>
      <c r="BL73" s="217" t="str">
        <f>IF(OR(Q73="",R73="",S73=""),"M",1)</f>
        <v>M</v>
      </c>
      <c r="BM73" s="217">
        <f>IF(AND(BH73="M",BI73="M",BJ73="M",BK73="M",BL73="M",D73=""),0,1)</f>
        <v>0</v>
      </c>
      <c r="BN73" s="216"/>
      <c r="BO73" s="216"/>
      <c r="BP73" s="218"/>
    </row>
    <row r="74" spans="1:68" ht="17.25" customHeight="1">
      <c r="A74" s="296">
        <v>-25</v>
      </c>
      <c r="B74" s="297">
        <f t="shared" si="12"/>
        <v>-25</v>
      </c>
      <c r="C74" s="298">
        <f t="shared" si="12"/>
        <v>-25</v>
      </c>
      <c r="D74" s="242"/>
      <c r="E74" s="46"/>
      <c r="F74" s="47"/>
      <c r="G74" s="48"/>
      <c r="H74" s="46"/>
      <c r="I74" s="47"/>
      <c r="J74" s="48"/>
      <c r="K74" s="46"/>
      <c r="L74" s="47"/>
      <c r="M74" s="48"/>
      <c r="N74" s="46"/>
      <c r="O74" s="47"/>
      <c r="P74" s="48"/>
      <c r="Q74" s="46"/>
      <c r="R74" s="47"/>
      <c r="S74" s="94"/>
      <c r="T74" s="92" t="str">
        <f>IF(BM74=0,"M",IF(D74="p1",AK74,IF(D74="p2",AL74,IF(D74="A",0,((E74*F74)*G74/0.6)+((H74*I74)*J74/0.6)+((K74*L74)*M74/0.6)+((N74*O74)*P74/0.6)+((Q74*R74)*S74/0.6)))))</f>
        <v>M</v>
      </c>
      <c r="U74" s="264" t="str">
        <f>IF(T74=Calculator!T74,"VALID","ERROR")</f>
        <v>VALID</v>
      </c>
      <c r="V74" s="127"/>
      <c r="W74" s="305">
        <f t="shared" si="13"/>
        <v>0</v>
      </c>
      <c r="X74" s="209"/>
      <c r="Y74" s="209"/>
      <c r="Z74" s="209"/>
      <c r="AA74" s="209"/>
      <c r="AB74" s="257"/>
      <c r="AC74" s="261"/>
      <c r="AD74" s="234"/>
      <c r="AE74" s="234"/>
      <c r="AF74" s="234"/>
      <c r="AG74" s="234"/>
      <c r="AH74" s="234"/>
      <c r="AK74" s="212" t="b">
        <f t="shared" si="14"/>
        <v>0</v>
      </c>
      <c r="AL74" s="212" t="b">
        <f t="shared" si="3"/>
        <v>0</v>
      </c>
      <c r="AM74" s="212" t="str">
        <f>IF(D74="p1",AP74,"no")</f>
        <v>no</v>
      </c>
      <c r="AN74" s="212" t="str">
        <f>IF(D74="p2",AP74,"no")</f>
        <v>no</v>
      </c>
      <c r="AO74" s="213"/>
      <c r="AP74" s="212" t="e">
        <f>WEEKDAY(C74)</f>
        <v>#NUM!</v>
      </c>
      <c r="AQ74" s="292" t="str">
        <f t="shared" ref="AQ74:AW89" si="15">AQ73</f>
        <v>M</v>
      </c>
      <c r="AR74" s="292" t="str">
        <f t="shared" si="15"/>
        <v>M</v>
      </c>
      <c r="AS74" s="292" t="str">
        <f t="shared" si="15"/>
        <v>M</v>
      </c>
      <c r="AT74" s="292" t="str">
        <f t="shared" si="15"/>
        <v>M</v>
      </c>
      <c r="AU74" s="292" t="str">
        <f t="shared" si="15"/>
        <v>M</v>
      </c>
      <c r="AV74" s="292" t="str">
        <f t="shared" si="15"/>
        <v>M</v>
      </c>
      <c r="AW74" s="292" t="str">
        <f t="shared" si="15"/>
        <v>M</v>
      </c>
      <c r="AX74" s="215"/>
      <c r="AY74" s="214">
        <f t="shared" ref="AY74:BE89" si="16">AY73</f>
        <v>0</v>
      </c>
      <c r="AZ74" s="214">
        <f t="shared" si="16"/>
        <v>0</v>
      </c>
      <c r="BA74" s="214">
        <f t="shared" si="16"/>
        <v>0</v>
      </c>
      <c r="BB74" s="214">
        <f t="shared" si="16"/>
        <v>0</v>
      </c>
      <c r="BC74" s="214">
        <f t="shared" si="16"/>
        <v>0</v>
      </c>
      <c r="BD74" s="214">
        <f t="shared" si="16"/>
        <v>0</v>
      </c>
      <c r="BE74" s="214">
        <f t="shared" si="16"/>
        <v>0</v>
      </c>
      <c r="BH74" s="217" t="str">
        <f>IF(OR(E74="",F74="",G74=""),"M",1)</f>
        <v>M</v>
      </c>
      <c r="BI74" s="217" t="str">
        <f>IF(OR(H74="",I74="",J74=""),"M",1)</f>
        <v>M</v>
      </c>
      <c r="BJ74" s="217" t="str">
        <f>IF(OR(K74="",L74="",M74=""),"M",1)</f>
        <v>M</v>
      </c>
      <c r="BK74" s="217" t="str">
        <f>IF(OR(N74="",O74="",P74=""),"M",1)</f>
        <v>M</v>
      </c>
      <c r="BL74" s="217" t="str">
        <f>IF(OR(Q74="",R74="",S74=""),"M",1)</f>
        <v>M</v>
      </c>
      <c r="BM74" s="217">
        <f>IF(AND(BH74="M",BI74="M",BJ74="M",BK74="M",BL74="M",D74=""),0,1)</f>
        <v>0</v>
      </c>
      <c r="BN74" s="216"/>
      <c r="BO74" s="216"/>
      <c r="BP74" s="218"/>
    </row>
    <row r="75" spans="1:68" ht="17.25" customHeight="1">
      <c r="A75" s="296">
        <v>-24</v>
      </c>
      <c r="B75" s="297">
        <f t="shared" si="12"/>
        <v>-24</v>
      </c>
      <c r="C75" s="298">
        <f t="shared" si="12"/>
        <v>-24</v>
      </c>
      <c r="D75" s="241"/>
      <c r="E75" s="46"/>
      <c r="F75" s="47"/>
      <c r="G75" s="48"/>
      <c r="H75" s="46"/>
      <c r="I75" s="47"/>
      <c r="J75" s="48"/>
      <c r="K75" s="46"/>
      <c r="L75" s="47"/>
      <c r="M75" s="48"/>
      <c r="N75" s="46"/>
      <c r="O75" s="47"/>
      <c r="P75" s="48"/>
      <c r="Q75" s="46"/>
      <c r="R75" s="47"/>
      <c r="S75" s="94"/>
      <c r="T75" s="92" t="str">
        <f>IF(BM75=0,"M",IF(D75="p1",AK75,IF(D75="p2",AL75,IF(D75="A",0,((E75*F75)*G75/0.6)+((H75*I75)*J75/0.6)+((K75*L75)*M75/0.6)+((N75*O75)*P75/0.6)+((Q75*R75)*S75/0.6)))))</f>
        <v>M</v>
      </c>
      <c r="U75" s="264" t="str">
        <f>IF(T75=Calculator!T75,"VALID","ERROR")</f>
        <v>VALID</v>
      </c>
      <c r="V75" s="127"/>
      <c r="W75" s="305">
        <f t="shared" si="13"/>
        <v>0</v>
      </c>
      <c r="X75" s="209"/>
      <c r="Y75" s="209"/>
      <c r="Z75" s="209"/>
      <c r="AA75" s="209"/>
      <c r="AB75" s="257"/>
      <c r="AC75" s="261"/>
      <c r="AD75" s="234"/>
      <c r="AE75" s="234"/>
      <c r="AF75" s="234"/>
      <c r="AG75" s="234"/>
      <c r="AH75" s="234"/>
      <c r="AK75" s="212" t="b">
        <f t="shared" si="14"/>
        <v>0</v>
      </c>
      <c r="AL75" s="212" t="b">
        <f t="shared" si="3"/>
        <v>0</v>
      </c>
      <c r="AM75" s="212" t="str">
        <f>IF(D75="p1",AP75,"no")</f>
        <v>no</v>
      </c>
      <c r="AN75" s="212" t="str">
        <f>IF(D75="p2",AP75,"no")</f>
        <v>no</v>
      </c>
      <c r="AO75" s="213"/>
      <c r="AP75" s="212" t="e">
        <f>WEEKDAY(C75)</f>
        <v>#NUM!</v>
      </c>
      <c r="AQ75" s="292" t="str">
        <f t="shared" si="15"/>
        <v>M</v>
      </c>
      <c r="AR75" s="292" t="str">
        <f t="shared" si="15"/>
        <v>M</v>
      </c>
      <c r="AS75" s="292" t="str">
        <f t="shared" si="15"/>
        <v>M</v>
      </c>
      <c r="AT75" s="292" t="str">
        <f t="shared" si="15"/>
        <v>M</v>
      </c>
      <c r="AU75" s="292" t="str">
        <f t="shared" si="15"/>
        <v>M</v>
      </c>
      <c r="AV75" s="292" t="str">
        <f t="shared" si="15"/>
        <v>M</v>
      </c>
      <c r="AW75" s="292" t="str">
        <f t="shared" si="15"/>
        <v>M</v>
      </c>
      <c r="AX75" s="215"/>
      <c r="AY75" s="214">
        <f t="shared" si="16"/>
        <v>0</v>
      </c>
      <c r="AZ75" s="214">
        <f t="shared" si="16"/>
        <v>0</v>
      </c>
      <c r="BA75" s="214">
        <f t="shared" si="16"/>
        <v>0</v>
      </c>
      <c r="BB75" s="214">
        <f t="shared" si="16"/>
        <v>0</v>
      </c>
      <c r="BC75" s="214">
        <f t="shared" si="16"/>
        <v>0</v>
      </c>
      <c r="BD75" s="214">
        <f t="shared" si="16"/>
        <v>0</v>
      </c>
      <c r="BE75" s="214">
        <f t="shared" si="16"/>
        <v>0</v>
      </c>
      <c r="BH75" s="217" t="str">
        <f>IF(OR(E75="",F75="",G75=""),"M",1)</f>
        <v>M</v>
      </c>
      <c r="BI75" s="217" t="str">
        <f>IF(OR(H75="",I75="",J75=""),"M",1)</f>
        <v>M</v>
      </c>
      <c r="BJ75" s="217" t="str">
        <f>IF(OR(K75="",L75="",M75=""),"M",1)</f>
        <v>M</v>
      </c>
      <c r="BK75" s="217" t="str">
        <f>IF(OR(N75="",O75="",P75=""),"M",1)</f>
        <v>M</v>
      </c>
      <c r="BL75" s="217" t="str">
        <f>IF(OR(Q75="",R75="",S75=""),"M",1)</f>
        <v>M</v>
      </c>
      <c r="BM75" s="217">
        <f>IF(AND(BH75="M",BI75="M",BJ75="M",BK75="M",BL75="M",D75=""),0,1)</f>
        <v>0</v>
      </c>
      <c r="BN75" s="216"/>
      <c r="BO75" s="216"/>
      <c r="BP75" s="218"/>
    </row>
    <row r="76" spans="1:68" ht="17.25" customHeight="1">
      <c r="A76" s="296">
        <v>-23</v>
      </c>
      <c r="B76" s="297">
        <f t="shared" si="12"/>
        <v>-23</v>
      </c>
      <c r="C76" s="298">
        <f t="shared" si="12"/>
        <v>-23</v>
      </c>
      <c r="D76" s="242"/>
      <c r="E76" s="46"/>
      <c r="F76" s="47"/>
      <c r="G76" s="48"/>
      <c r="H76" s="46"/>
      <c r="I76" s="47"/>
      <c r="J76" s="48"/>
      <c r="K76" s="46"/>
      <c r="L76" s="47"/>
      <c r="M76" s="48"/>
      <c r="N76" s="46"/>
      <c r="O76" s="47"/>
      <c r="P76" s="48"/>
      <c r="Q76" s="46"/>
      <c r="R76" s="47"/>
      <c r="S76" s="94"/>
      <c r="T76" s="92" t="str">
        <f>IF(BM76=0,"M",IF(D76="p1",AK76,IF(D76="p2",AL76,IF(D76="A",0,((E76*F76)*G76/0.6)+((H76*I76)*J76/0.6)+((K76*L76)*M76/0.6)+((N76*O76)*P76/0.6)+((Q76*R76)*S76/0.6)))))</f>
        <v>M</v>
      </c>
      <c r="U76" s="264" t="str">
        <f>IF(T76=Calculator!T76,"VALID","ERROR")</f>
        <v>VALID</v>
      </c>
      <c r="V76" s="127"/>
      <c r="W76" s="305">
        <f t="shared" si="13"/>
        <v>0</v>
      </c>
      <c r="X76" s="209"/>
      <c r="Y76" s="209"/>
      <c r="Z76" s="209"/>
      <c r="AA76" s="209"/>
      <c r="AB76" s="257"/>
      <c r="AC76" s="261"/>
      <c r="AD76" s="234"/>
      <c r="AE76" s="234"/>
      <c r="AF76" s="234"/>
      <c r="AG76" s="234"/>
      <c r="AH76" s="234"/>
      <c r="AK76" s="212" t="b">
        <f t="shared" si="14"/>
        <v>0</v>
      </c>
      <c r="AL76" s="212" t="b">
        <f t="shared" si="3"/>
        <v>0</v>
      </c>
      <c r="AM76" s="212" t="str">
        <f>IF(D76="p1",AP76,"no")</f>
        <v>no</v>
      </c>
      <c r="AN76" s="212" t="str">
        <f>IF(D76="p2",AP76,"no")</f>
        <v>no</v>
      </c>
      <c r="AO76" s="213"/>
      <c r="AP76" s="212" t="e">
        <f>WEEKDAY(C76)</f>
        <v>#NUM!</v>
      </c>
      <c r="AQ76" s="292" t="str">
        <f t="shared" si="15"/>
        <v>M</v>
      </c>
      <c r="AR76" s="292" t="str">
        <f t="shared" si="15"/>
        <v>M</v>
      </c>
      <c r="AS76" s="292" t="str">
        <f t="shared" si="15"/>
        <v>M</v>
      </c>
      <c r="AT76" s="292" t="str">
        <f t="shared" si="15"/>
        <v>M</v>
      </c>
      <c r="AU76" s="292" t="str">
        <f t="shared" si="15"/>
        <v>M</v>
      </c>
      <c r="AV76" s="292" t="str">
        <f t="shared" si="15"/>
        <v>M</v>
      </c>
      <c r="AW76" s="292" t="str">
        <f t="shared" si="15"/>
        <v>M</v>
      </c>
      <c r="AX76" s="215"/>
      <c r="AY76" s="214">
        <f t="shared" si="16"/>
        <v>0</v>
      </c>
      <c r="AZ76" s="214">
        <f t="shared" si="16"/>
        <v>0</v>
      </c>
      <c r="BA76" s="214">
        <f t="shared" si="16"/>
        <v>0</v>
      </c>
      <c r="BB76" s="214">
        <f t="shared" si="16"/>
        <v>0</v>
      </c>
      <c r="BC76" s="214">
        <f t="shared" si="16"/>
        <v>0</v>
      </c>
      <c r="BD76" s="214">
        <f t="shared" si="16"/>
        <v>0</v>
      </c>
      <c r="BE76" s="214">
        <f t="shared" si="16"/>
        <v>0</v>
      </c>
      <c r="BH76" s="217" t="str">
        <f>IF(OR(E76="",F76="",G76=""),"M",1)</f>
        <v>M</v>
      </c>
      <c r="BI76" s="217" t="str">
        <f>IF(OR(H76="",I76="",J76=""),"M",1)</f>
        <v>M</v>
      </c>
      <c r="BJ76" s="217" t="str">
        <f>IF(OR(K76="",L76="",M76=""),"M",1)</f>
        <v>M</v>
      </c>
      <c r="BK76" s="217" t="str">
        <f>IF(OR(N76="",O76="",P76=""),"M",1)</f>
        <v>M</v>
      </c>
      <c r="BL76" s="217" t="str">
        <f>IF(OR(Q76="",R76="",S76=""),"M",1)</f>
        <v>M</v>
      </c>
      <c r="BM76" s="217">
        <f>IF(AND(BH76="M",BI76="M",BJ76="M",BK76="M",BL76="M",D76=""),0,1)</f>
        <v>0</v>
      </c>
      <c r="BN76" s="216"/>
      <c r="BO76" s="216"/>
      <c r="BP76" s="218"/>
    </row>
    <row r="77" spans="1:68" ht="17.25" customHeight="1">
      <c r="A77" s="296">
        <v>-22</v>
      </c>
      <c r="B77" s="297">
        <f t="shared" si="12"/>
        <v>-22</v>
      </c>
      <c r="C77" s="298">
        <f t="shared" si="12"/>
        <v>-22</v>
      </c>
      <c r="D77" s="241"/>
      <c r="E77" s="46"/>
      <c r="F77" s="47"/>
      <c r="G77" s="48"/>
      <c r="H77" s="46"/>
      <c r="I77" s="47"/>
      <c r="J77" s="48"/>
      <c r="K77" s="46"/>
      <c r="L77" s="47"/>
      <c r="M77" s="48"/>
      <c r="N77" s="46"/>
      <c r="O77" s="47"/>
      <c r="P77" s="48"/>
      <c r="Q77" s="46"/>
      <c r="R77" s="47"/>
      <c r="S77" s="94"/>
      <c r="T77" s="92" t="str">
        <f>IF(BM77=0,"M",IF(D77="p1",AK77,IF(D77="p2",AL77,IF(D77="A",0,((E77*F77)*G77/0.6)+((H77*I77)*J77/0.6)+((K77*L77)*M77/0.6)+((N77*O77)*P77/0.6)+((Q77*R77)*S77/0.6)))))</f>
        <v>M</v>
      </c>
      <c r="U77" s="264" t="str">
        <f>IF(T77=Calculator!T77,"VALID","ERROR")</f>
        <v>VALID</v>
      </c>
      <c r="V77" s="127"/>
      <c r="W77" s="305">
        <f t="shared" si="13"/>
        <v>0</v>
      </c>
      <c r="X77" s="209"/>
      <c r="Y77" s="209"/>
      <c r="Z77" s="209"/>
      <c r="AA77" s="209"/>
      <c r="AB77" s="257"/>
      <c r="AC77" s="261"/>
      <c r="AD77" s="234"/>
      <c r="AE77" s="234"/>
      <c r="AF77" s="234"/>
      <c r="AG77" s="234"/>
      <c r="AH77" s="234"/>
      <c r="AK77" s="212" t="b">
        <f t="shared" si="14"/>
        <v>0</v>
      </c>
      <c r="AL77" s="212" t="b">
        <f t="shared" si="3"/>
        <v>0</v>
      </c>
      <c r="AM77" s="212" t="str">
        <f>IF(D77="p1",AP77,"no")</f>
        <v>no</v>
      </c>
      <c r="AN77" s="212" t="str">
        <f>IF(D77="p2",AP77,"no")</f>
        <v>no</v>
      </c>
      <c r="AO77" s="213"/>
      <c r="AP77" s="212" t="e">
        <f>WEEKDAY(C77)</f>
        <v>#NUM!</v>
      </c>
      <c r="AQ77" s="292" t="str">
        <f t="shared" si="15"/>
        <v>M</v>
      </c>
      <c r="AR77" s="292" t="str">
        <f t="shared" si="15"/>
        <v>M</v>
      </c>
      <c r="AS77" s="292" t="str">
        <f t="shared" si="15"/>
        <v>M</v>
      </c>
      <c r="AT77" s="292" t="str">
        <f t="shared" si="15"/>
        <v>M</v>
      </c>
      <c r="AU77" s="292" t="str">
        <f t="shared" si="15"/>
        <v>M</v>
      </c>
      <c r="AV77" s="292" t="str">
        <f t="shared" si="15"/>
        <v>M</v>
      </c>
      <c r="AW77" s="292" t="str">
        <f t="shared" si="15"/>
        <v>M</v>
      </c>
      <c r="AX77" s="215"/>
      <c r="AY77" s="214">
        <f t="shared" si="16"/>
        <v>0</v>
      </c>
      <c r="AZ77" s="214">
        <f t="shared" si="16"/>
        <v>0</v>
      </c>
      <c r="BA77" s="214">
        <f t="shared" si="16"/>
        <v>0</v>
      </c>
      <c r="BB77" s="214">
        <f t="shared" si="16"/>
        <v>0</v>
      </c>
      <c r="BC77" s="214">
        <f t="shared" si="16"/>
        <v>0</v>
      </c>
      <c r="BD77" s="214">
        <f t="shared" si="16"/>
        <v>0</v>
      </c>
      <c r="BE77" s="214">
        <f t="shared" si="16"/>
        <v>0</v>
      </c>
      <c r="BH77" s="217" t="str">
        <f>IF(OR(E77="",F77="",G77=""),"M",1)</f>
        <v>M</v>
      </c>
      <c r="BI77" s="217" t="str">
        <f>IF(OR(H77="",I77="",J77=""),"M",1)</f>
        <v>M</v>
      </c>
      <c r="BJ77" s="217" t="str">
        <f>IF(OR(K77="",L77="",M77=""),"M",1)</f>
        <v>M</v>
      </c>
      <c r="BK77" s="217" t="str">
        <f>IF(OR(N77="",O77="",P77=""),"M",1)</f>
        <v>M</v>
      </c>
      <c r="BL77" s="217" t="str">
        <f>IF(OR(Q77="",R77="",S77=""),"M",1)</f>
        <v>M</v>
      </c>
      <c r="BM77" s="217">
        <f>IF(AND(BH77="M",BI77="M",BJ77="M",BK77="M",BL77="M",D77=""),0,1)</f>
        <v>0</v>
      </c>
      <c r="BN77" s="216"/>
      <c r="BO77" s="216"/>
      <c r="BP77" s="218"/>
    </row>
    <row r="78" spans="1:68" ht="17.25" customHeight="1">
      <c r="A78" s="296">
        <v>-21</v>
      </c>
      <c r="B78" s="297">
        <f t="shared" si="12"/>
        <v>-21</v>
      </c>
      <c r="C78" s="298">
        <f t="shared" si="12"/>
        <v>-21</v>
      </c>
      <c r="D78" s="242"/>
      <c r="E78" s="46"/>
      <c r="F78" s="47"/>
      <c r="G78" s="48"/>
      <c r="H78" s="46"/>
      <c r="I78" s="47"/>
      <c r="J78" s="48"/>
      <c r="K78" s="46"/>
      <c r="L78" s="47"/>
      <c r="M78" s="48"/>
      <c r="N78" s="46"/>
      <c r="O78" s="47"/>
      <c r="P78" s="48"/>
      <c r="Q78" s="46"/>
      <c r="R78" s="47"/>
      <c r="S78" s="94"/>
      <c r="T78" s="92" t="str">
        <f>IF(BM78=0,"M",IF(D78="p1",AK78,IF(D78="p2",AL78,IF(D78="A",0,((E78*F78)*G78/0.6)+((H78*I78)*J78/0.6)+((K78*L78)*M78/0.6)+((N78*O78)*P78/0.6)+((Q78*R78)*S78/0.6)))))</f>
        <v>M</v>
      </c>
      <c r="U78" s="264" t="str">
        <f>IF(T78=Calculator!T78,"VALID","ERROR")</f>
        <v>VALID</v>
      </c>
      <c r="V78" s="127"/>
      <c r="W78" s="305">
        <f t="shared" si="13"/>
        <v>0</v>
      </c>
      <c r="X78" s="209"/>
      <c r="Y78" s="209"/>
      <c r="Z78" s="209"/>
      <c r="AA78" s="209"/>
      <c r="AB78" s="257"/>
      <c r="AC78" s="261"/>
      <c r="AD78" s="234"/>
      <c r="AE78" s="234"/>
      <c r="AF78" s="234"/>
      <c r="AG78" s="234"/>
      <c r="AH78" s="234"/>
      <c r="AK78" s="212" t="b">
        <f t="shared" si="14"/>
        <v>0</v>
      </c>
      <c r="AL78" s="212" t="b">
        <f t="shared" si="3"/>
        <v>0</v>
      </c>
      <c r="AM78" s="212" t="str">
        <f>IF(D78="p1",AP78,"no")</f>
        <v>no</v>
      </c>
      <c r="AN78" s="212" t="str">
        <f>IF(D78="p2",AP78,"no")</f>
        <v>no</v>
      </c>
      <c r="AO78" s="213"/>
      <c r="AP78" s="212" t="e">
        <f>WEEKDAY(C78)</f>
        <v>#NUM!</v>
      </c>
      <c r="AQ78" s="292" t="str">
        <f t="shared" si="15"/>
        <v>M</v>
      </c>
      <c r="AR78" s="292" t="str">
        <f t="shared" si="15"/>
        <v>M</v>
      </c>
      <c r="AS78" s="292" t="str">
        <f t="shared" si="15"/>
        <v>M</v>
      </c>
      <c r="AT78" s="292" t="str">
        <f t="shared" si="15"/>
        <v>M</v>
      </c>
      <c r="AU78" s="292" t="str">
        <f t="shared" si="15"/>
        <v>M</v>
      </c>
      <c r="AV78" s="292" t="str">
        <f t="shared" si="15"/>
        <v>M</v>
      </c>
      <c r="AW78" s="292" t="str">
        <f t="shared" si="15"/>
        <v>M</v>
      </c>
      <c r="AX78" s="215"/>
      <c r="AY78" s="214">
        <f t="shared" si="16"/>
        <v>0</v>
      </c>
      <c r="AZ78" s="214">
        <f t="shared" si="16"/>
        <v>0</v>
      </c>
      <c r="BA78" s="214">
        <f t="shared" si="16"/>
        <v>0</v>
      </c>
      <c r="BB78" s="214">
        <f t="shared" si="16"/>
        <v>0</v>
      </c>
      <c r="BC78" s="214">
        <f t="shared" si="16"/>
        <v>0</v>
      </c>
      <c r="BD78" s="214">
        <f t="shared" si="16"/>
        <v>0</v>
      </c>
      <c r="BE78" s="214">
        <f t="shared" si="16"/>
        <v>0</v>
      </c>
      <c r="BH78" s="217" t="str">
        <f>IF(OR(E78="",F78="",G78=""),"M",1)</f>
        <v>M</v>
      </c>
      <c r="BI78" s="217" t="str">
        <f>IF(OR(H78="",I78="",J78=""),"M",1)</f>
        <v>M</v>
      </c>
      <c r="BJ78" s="217" t="str">
        <f>IF(OR(K78="",L78="",M78=""),"M",1)</f>
        <v>M</v>
      </c>
      <c r="BK78" s="217" t="str">
        <f>IF(OR(N78="",O78="",P78=""),"M",1)</f>
        <v>M</v>
      </c>
      <c r="BL78" s="217" t="str">
        <f>IF(OR(Q78="",R78="",S78=""),"M",1)</f>
        <v>M</v>
      </c>
      <c r="BM78" s="217">
        <f>IF(AND(BH78="M",BI78="M",BJ78="M",BK78="M",BL78="M",D78=""),0,1)</f>
        <v>0</v>
      </c>
      <c r="BN78" s="216"/>
      <c r="BO78" s="216"/>
      <c r="BP78" s="218"/>
    </row>
    <row r="79" spans="1:68" ht="17.25" customHeight="1">
      <c r="A79" s="296">
        <v>-20</v>
      </c>
      <c r="B79" s="297">
        <f t="shared" si="12"/>
        <v>-20</v>
      </c>
      <c r="C79" s="298">
        <f t="shared" si="12"/>
        <v>-20</v>
      </c>
      <c r="D79" s="241"/>
      <c r="E79" s="46"/>
      <c r="F79" s="47"/>
      <c r="G79" s="48"/>
      <c r="H79" s="46"/>
      <c r="I79" s="47"/>
      <c r="J79" s="48"/>
      <c r="K79" s="46"/>
      <c r="L79" s="47"/>
      <c r="M79" s="48"/>
      <c r="N79" s="46"/>
      <c r="O79" s="47"/>
      <c r="P79" s="48"/>
      <c r="Q79" s="46"/>
      <c r="R79" s="47"/>
      <c r="S79" s="94"/>
      <c r="T79" s="92" t="str">
        <f>IF(BM79=0,"M",IF(D79="p1",AK79,IF(D79="p2",AL79,IF(D79="A",0,((E79*F79)*G79/0.6)+((H79*I79)*J79/0.6)+((K79*L79)*M79/0.6)+((N79*O79)*P79/0.6)+((Q79*R79)*S79/0.6)))))</f>
        <v>M</v>
      </c>
      <c r="U79" s="264" t="str">
        <f>IF(T79=Calculator!T79,"VALID","ERROR")</f>
        <v>VALID</v>
      </c>
      <c r="V79" s="127"/>
      <c r="W79" s="305">
        <f t="shared" si="13"/>
        <v>0</v>
      </c>
      <c r="X79" s="209"/>
      <c r="Y79" s="209"/>
      <c r="Z79" s="209"/>
      <c r="AA79" s="209"/>
      <c r="AB79" s="257"/>
      <c r="AC79" s="261"/>
      <c r="AD79" s="234"/>
      <c r="AE79" s="234"/>
      <c r="AF79" s="234"/>
      <c r="AG79" s="234"/>
      <c r="AH79" s="234"/>
      <c r="AK79" s="212" t="b">
        <f t="shared" si="14"/>
        <v>0</v>
      </c>
      <c r="AL79" s="212" t="b">
        <f t="shared" si="3"/>
        <v>0</v>
      </c>
      <c r="AM79" s="212" t="str">
        <f>IF(D79="p1",AP79,"no")</f>
        <v>no</v>
      </c>
      <c r="AN79" s="212" t="str">
        <f>IF(D79="p2",AP79,"no")</f>
        <v>no</v>
      </c>
      <c r="AO79" s="213"/>
      <c r="AP79" s="212" t="e">
        <f>WEEKDAY(C79)</f>
        <v>#NUM!</v>
      </c>
      <c r="AQ79" s="292" t="str">
        <f t="shared" si="15"/>
        <v>M</v>
      </c>
      <c r="AR79" s="292" t="str">
        <f t="shared" si="15"/>
        <v>M</v>
      </c>
      <c r="AS79" s="292" t="str">
        <f t="shared" si="15"/>
        <v>M</v>
      </c>
      <c r="AT79" s="292" t="str">
        <f t="shared" si="15"/>
        <v>M</v>
      </c>
      <c r="AU79" s="292" t="str">
        <f t="shared" si="15"/>
        <v>M</v>
      </c>
      <c r="AV79" s="292" t="str">
        <f t="shared" si="15"/>
        <v>M</v>
      </c>
      <c r="AW79" s="292" t="str">
        <f t="shared" si="15"/>
        <v>M</v>
      </c>
      <c r="AX79" s="215"/>
      <c r="AY79" s="214">
        <f t="shared" si="16"/>
        <v>0</v>
      </c>
      <c r="AZ79" s="214">
        <f t="shared" si="16"/>
        <v>0</v>
      </c>
      <c r="BA79" s="214">
        <f t="shared" si="16"/>
        <v>0</v>
      </c>
      <c r="BB79" s="214">
        <f t="shared" si="16"/>
        <v>0</v>
      </c>
      <c r="BC79" s="214">
        <f t="shared" si="16"/>
        <v>0</v>
      </c>
      <c r="BD79" s="214">
        <f t="shared" si="16"/>
        <v>0</v>
      </c>
      <c r="BE79" s="214">
        <f t="shared" si="16"/>
        <v>0</v>
      </c>
      <c r="BH79" s="217" t="str">
        <f>IF(OR(E79="",F79="",G79=""),"M",1)</f>
        <v>M</v>
      </c>
      <c r="BI79" s="217" t="str">
        <f>IF(OR(H79="",I79="",J79=""),"M",1)</f>
        <v>M</v>
      </c>
      <c r="BJ79" s="217" t="str">
        <f>IF(OR(K79="",L79="",M79=""),"M",1)</f>
        <v>M</v>
      </c>
      <c r="BK79" s="217" t="str">
        <f>IF(OR(N79="",O79="",P79=""),"M",1)</f>
        <v>M</v>
      </c>
      <c r="BL79" s="217" t="str">
        <f>IF(OR(Q79="",R79="",S79=""),"M",1)</f>
        <v>M</v>
      </c>
      <c r="BM79" s="217">
        <f>IF(AND(BH79="M",BI79="M",BJ79="M",BK79="M",BL79="M",D79=""),0,1)</f>
        <v>0</v>
      </c>
      <c r="BN79" s="216"/>
      <c r="BO79" s="216"/>
      <c r="BP79" s="218"/>
    </row>
    <row r="80" spans="1:68" ht="17.25" customHeight="1">
      <c r="A80" s="296">
        <v>-19</v>
      </c>
      <c r="B80" s="297">
        <f t="shared" si="12"/>
        <v>-19</v>
      </c>
      <c r="C80" s="298">
        <f t="shared" si="12"/>
        <v>-19</v>
      </c>
      <c r="D80" s="242"/>
      <c r="E80" s="46"/>
      <c r="F80" s="47"/>
      <c r="G80" s="48"/>
      <c r="H80" s="46"/>
      <c r="I80" s="47"/>
      <c r="J80" s="48"/>
      <c r="K80" s="46"/>
      <c r="L80" s="47"/>
      <c r="M80" s="48"/>
      <c r="N80" s="46"/>
      <c r="O80" s="47"/>
      <c r="P80" s="48"/>
      <c r="Q80" s="46"/>
      <c r="R80" s="47"/>
      <c r="S80" s="94"/>
      <c r="T80" s="92" t="str">
        <f>IF(BM80=0,"M",IF(D80="p1",AK80,IF(D80="p2",AL80,IF(D80="A",0,((E80*F80)*G80/0.6)+((H80*I80)*J80/0.6)+((K80*L80)*M80/0.6)+((N80*O80)*P80/0.6)+((Q80*R80)*S80/0.6)))))</f>
        <v>M</v>
      </c>
      <c r="U80" s="264" t="str">
        <f>IF(T80=Calculator!T80,"VALID","ERROR")</f>
        <v>VALID</v>
      </c>
      <c r="V80" s="127"/>
      <c r="W80" s="305">
        <f t="shared" si="13"/>
        <v>0</v>
      </c>
      <c r="X80" s="209"/>
      <c r="Y80" s="209"/>
      <c r="Z80" s="209"/>
      <c r="AA80" s="209"/>
      <c r="AB80" s="257"/>
      <c r="AC80" s="261"/>
      <c r="AD80" s="234"/>
      <c r="AE80" s="234"/>
      <c r="AF80" s="234"/>
      <c r="AG80" s="234"/>
      <c r="AH80" s="234"/>
      <c r="AK80" s="212" t="b">
        <f t="shared" si="14"/>
        <v>0</v>
      </c>
      <c r="AL80" s="212" t="b">
        <f t="shared" si="3"/>
        <v>0</v>
      </c>
      <c r="AM80" s="212" t="str">
        <f>IF(D80="p1",AP80,"no")</f>
        <v>no</v>
      </c>
      <c r="AN80" s="212" t="str">
        <f>IF(D80="p2",AP80,"no")</f>
        <v>no</v>
      </c>
      <c r="AO80" s="213"/>
      <c r="AP80" s="212" t="e">
        <f>WEEKDAY(C80)</f>
        <v>#NUM!</v>
      </c>
      <c r="AQ80" s="292" t="str">
        <f t="shared" si="15"/>
        <v>M</v>
      </c>
      <c r="AR80" s="292" t="str">
        <f t="shared" si="15"/>
        <v>M</v>
      </c>
      <c r="AS80" s="292" t="str">
        <f t="shared" si="15"/>
        <v>M</v>
      </c>
      <c r="AT80" s="292" t="str">
        <f t="shared" si="15"/>
        <v>M</v>
      </c>
      <c r="AU80" s="292" t="str">
        <f t="shared" si="15"/>
        <v>M</v>
      </c>
      <c r="AV80" s="292" t="str">
        <f t="shared" si="15"/>
        <v>M</v>
      </c>
      <c r="AW80" s="292" t="str">
        <f t="shared" si="15"/>
        <v>M</v>
      </c>
      <c r="AX80" s="215"/>
      <c r="AY80" s="214">
        <f t="shared" si="16"/>
        <v>0</v>
      </c>
      <c r="AZ80" s="214">
        <f t="shared" si="16"/>
        <v>0</v>
      </c>
      <c r="BA80" s="214">
        <f t="shared" si="16"/>
        <v>0</v>
      </c>
      <c r="BB80" s="214">
        <f t="shared" si="16"/>
        <v>0</v>
      </c>
      <c r="BC80" s="214">
        <f t="shared" si="16"/>
        <v>0</v>
      </c>
      <c r="BD80" s="214">
        <f t="shared" si="16"/>
        <v>0</v>
      </c>
      <c r="BE80" s="214">
        <f t="shared" si="16"/>
        <v>0</v>
      </c>
      <c r="BH80" s="217" t="str">
        <f>IF(OR(E80="",F80="",G80=""),"M",1)</f>
        <v>M</v>
      </c>
      <c r="BI80" s="217" t="str">
        <f>IF(OR(H80="",I80="",J80=""),"M",1)</f>
        <v>M</v>
      </c>
      <c r="BJ80" s="217" t="str">
        <f>IF(OR(K80="",L80="",M80=""),"M",1)</f>
        <v>M</v>
      </c>
      <c r="BK80" s="217" t="str">
        <f>IF(OR(N80="",O80="",P80=""),"M",1)</f>
        <v>M</v>
      </c>
      <c r="BL80" s="217" t="str">
        <f>IF(OR(Q80="",R80="",S80=""),"M",1)</f>
        <v>M</v>
      </c>
      <c r="BM80" s="217">
        <f>IF(AND(BH80="M",BI80="M",BJ80="M",BK80="M",BL80="M",D80=""),0,1)</f>
        <v>0</v>
      </c>
      <c r="BN80" s="216"/>
      <c r="BO80" s="216"/>
      <c r="BP80" s="218"/>
    </row>
    <row r="81" spans="1:68" ht="17.25" customHeight="1">
      <c r="A81" s="296">
        <v>-18</v>
      </c>
      <c r="B81" s="297">
        <f t="shared" si="12"/>
        <v>-18</v>
      </c>
      <c r="C81" s="298">
        <f t="shared" si="12"/>
        <v>-18</v>
      </c>
      <c r="D81" s="241"/>
      <c r="E81" s="46"/>
      <c r="F81" s="47"/>
      <c r="G81" s="48"/>
      <c r="H81" s="46"/>
      <c r="I81" s="47"/>
      <c r="J81" s="48"/>
      <c r="K81" s="46"/>
      <c r="L81" s="47"/>
      <c r="M81" s="48"/>
      <c r="N81" s="46"/>
      <c r="O81" s="47"/>
      <c r="P81" s="48"/>
      <c r="Q81" s="46"/>
      <c r="R81" s="47"/>
      <c r="S81" s="94"/>
      <c r="T81" s="92" t="str">
        <f>IF(BM81=0,"M",IF(D81="p1",AK81,IF(D81="p2",AL81,IF(D81="A",0,((E81*F81)*G81/0.6)+((H81*I81)*J81/0.6)+((K81*L81)*M81/0.6)+((N81*O81)*P81/0.6)+((Q81*R81)*S81/0.6)))))</f>
        <v>M</v>
      </c>
      <c r="U81" s="264" t="str">
        <f>IF(T81=Calculator!T81,"VALID","ERROR")</f>
        <v>VALID</v>
      </c>
      <c r="V81" s="127"/>
      <c r="W81" s="305">
        <f t="shared" si="13"/>
        <v>0</v>
      </c>
      <c r="X81" s="209"/>
      <c r="Y81" s="209"/>
      <c r="Z81" s="209"/>
      <c r="AA81" s="209"/>
      <c r="AB81" s="257"/>
      <c r="AC81" s="261"/>
      <c r="AD81" s="234"/>
      <c r="AE81" s="234"/>
      <c r="AF81" s="234"/>
      <c r="AG81" s="234"/>
      <c r="AH81" s="234"/>
      <c r="AK81" s="212" t="b">
        <f t="shared" si="14"/>
        <v>0</v>
      </c>
      <c r="AL81" s="212" t="b">
        <f t="shared" si="3"/>
        <v>0</v>
      </c>
      <c r="AM81" s="212" t="str">
        <f>IF(D81="p1",AP81,"no")</f>
        <v>no</v>
      </c>
      <c r="AN81" s="212" t="str">
        <f>IF(D81="p2",AP81,"no")</f>
        <v>no</v>
      </c>
      <c r="AO81" s="213"/>
      <c r="AP81" s="212" t="e">
        <f>WEEKDAY(C81)</f>
        <v>#NUM!</v>
      </c>
      <c r="AQ81" s="292" t="str">
        <f t="shared" si="15"/>
        <v>M</v>
      </c>
      <c r="AR81" s="292" t="str">
        <f t="shared" si="15"/>
        <v>M</v>
      </c>
      <c r="AS81" s="292" t="str">
        <f t="shared" si="15"/>
        <v>M</v>
      </c>
      <c r="AT81" s="292" t="str">
        <f t="shared" si="15"/>
        <v>M</v>
      </c>
      <c r="AU81" s="292" t="str">
        <f t="shared" si="15"/>
        <v>M</v>
      </c>
      <c r="AV81" s="292" t="str">
        <f t="shared" si="15"/>
        <v>M</v>
      </c>
      <c r="AW81" s="292" t="str">
        <f t="shared" si="15"/>
        <v>M</v>
      </c>
      <c r="AX81" s="215"/>
      <c r="AY81" s="214">
        <f t="shared" si="16"/>
        <v>0</v>
      </c>
      <c r="AZ81" s="214">
        <f t="shared" si="16"/>
        <v>0</v>
      </c>
      <c r="BA81" s="214">
        <f t="shared" si="16"/>
        <v>0</v>
      </c>
      <c r="BB81" s="214">
        <f t="shared" si="16"/>
        <v>0</v>
      </c>
      <c r="BC81" s="214">
        <f t="shared" si="16"/>
        <v>0</v>
      </c>
      <c r="BD81" s="214">
        <f t="shared" si="16"/>
        <v>0</v>
      </c>
      <c r="BE81" s="214">
        <f t="shared" si="16"/>
        <v>0</v>
      </c>
      <c r="BH81" s="217" t="str">
        <f>IF(OR(E81="",F81="",G81=""),"M",1)</f>
        <v>M</v>
      </c>
      <c r="BI81" s="217" t="str">
        <f>IF(OR(H81="",I81="",J81=""),"M",1)</f>
        <v>M</v>
      </c>
      <c r="BJ81" s="217" t="str">
        <f>IF(OR(K81="",L81="",M81=""),"M",1)</f>
        <v>M</v>
      </c>
      <c r="BK81" s="217" t="str">
        <f>IF(OR(N81="",O81="",P81=""),"M",1)</f>
        <v>M</v>
      </c>
      <c r="BL81" s="217" t="str">
        <f>IF(OR(Q81="",R81="",S81=""),"M",1)</f>
        <v>M</v>
      </c>
      <c r="BM81" s="217">
        <f>IF(AND(BH81="M",BI81="M",BJ81="M",BK81="M",BL81="M",D81=""),0,1)</f>
        <v>0</v>
      </c>
      <c r="BN81" s="216"/>
      <c r="BO81" s="216"/>
      <c r="BP81" s="218"/>
    </row>
    <row r="82" spans="1:68" ht="17.25" customHeight="1">
      <c r="A82" s="296">
        <v>-17</v>
      </c>
      <c r="B82" s="297">
        <f t="shared" si="12"/>
        <v>-17</v>
      </c>
      <c r="C82" s="298">
        <f t="shared" si="12"/>
        <v>-17</v>
      </c>
      <c r="D82" s="242"/>
      <c r="E82" s="46"/>
      <c r="F82" s="47"/>
      <c r="G82" s="48"/>
      <c r="H82" s="46"/>
      <c r="I82" s="47"/>
      <c r="J82" s="48"/>
      <c r="K82" s="46"/>
      <c r="L82" s="47"/>
      <c r="M82" s="48"/>
      <c r="N82" s="46"/>
      <c r="O82" s="47"/>
      <c r="P82" s="48"/>
      <c r="Q82" s="46"/>
      <c r="R82" s="47"/>
      <c r="S82" s="94"/>
      <c r="T82" s="92" t="str">
        <f>IF(BM82=0,"M",IF(D82="p1",AK82,IF(D82="p2",AL82,IF(D82="A",0,((E82*F82)*G82/0.6)+((H82*I82)*J82/0.6)+((K82*L82)*M82/0.6)+((N82*O82)*P82/0.6)+((Q82*R82)*S82/0.6)))))</f>
        <v>M</v>
      </c>
      <c r="U82" s="264" t="str">
        <f>IF(T82=Calculator!T82,"VALID","ERROR")</f>
        <v>VALID</v>
      </c>
      <c r="V82" s="127"/>
      <c r="W82" s="305">
        <f t="shared" si="13"/>
        <v>0</v>
      </c>
      <c r="X82" s="209"/>
      <c r="Y82" s="209"/>
      <c r="Z82" s="209"/>
      <c r="AA82" s="209"/>
      <c r="AB82" s="257"/>
      <c r="AC82" s="261"/>
      <c r="AD82" s="234"/>
      <c r="AE82" s="234"/>
      <c r="AF82" s="234"/>
      <c r="AG82" s="234"/>
      <c r="AH82" s="234"/>
      <c r="AK82" s="212" t="b">
        <f t="shared" si="14"/>
        <v>0</v>
      </c>
      <c r="AL82" s="212" t="b">
        <f t="shared" si="3"/>
        <v>0</v>
      </c>
      <c r="AM82" s="212" t="str">
        <f>IF(D82="p1",AP82,"no")</f>
        <v>no</v>
      </c>
      <c r="AN82" s="212" t="str">
        <f>IF(D82="p2",AP82,"no")</f>
        <v>no</v>
      </c>
      <c r="AO82" s="213"/>
      <c r="AP82" s="212" t="e">
        <f>WEEKDAY(C82)</f>
        <v>#NUM!</v>
      </c>
      <c r="AQ82" s="292" t="str">
        <f t="shared" si="15"/>
        <v>M</v>
      </c>
      <c r="AR82" s="292" t="str">
        <f t="shared" si="15"/>
        <v>M</v>
      </c>
      <c r="AS82" s="292" t="str">
        <f t="shared" si="15"/>
        <v>M</v>
      </c>
      <c r="AT82" s="292" t="str">
        <f t="shared" si="15"/>
        <v>M</v>
      </c>
      <c r="AU82" s="292" t="str">
        <f t="shared" si="15"/>
        <v>M</v>
      </c>
      <c r="AV82" s="292" t="str">
        <f t="shared" si="15"/>
        <v>M</v>
      </c>
      <c r="AW82" s="292" t="str">
        <f t="shared" si="15"/>
        <v>M</v>
      </c>
      <c r="AX82" s="215"/>
      <c r="AY82" s="214">
        <f t="shared" si="16"/>
        <v>0</v>
      </c>
      <c r="AZ82" s="214">
        <f t="shared" si="16"/>
        <v>0</v>
      </c>
      <c r="BA82" s="214">
        <f t="shared" si="16"/>
        <v>0</v>
      </c>
      <c r="BB82" s="214">
        <f t="shared" si="16"/>
        <v>0</v>
      </c>
      <c r="BC82" s="214">
        <f t="shared" si="16"/>
        <v>0</v>
      </c>
      <c r="BD82" s="214">
        <f t="shared" si="16"/>
        <v>0</v>
      </c>
      <c r="BE82" s="214">
        <f t="shared" si="16"/>
        <v>0</v>
      </c>
      <c r="BH82" s="217" t="str">
        <f>IF(OR(E82="",F82="",G82=""),"M",1)</f>
        <v>M</v>
      </c>
      <c r="BI82" s="217" t="str">
        <f>IF(OR(H82="",I82="",J82=""),"M",1)</f>
        <v>M</v>
      </c>
      <c r="BJ82" s="217" t="str">
        <f>IF(OR(K82="",L82="",M82=""),"M",1)</f>
        <v>M</v>
      </c>
      <c r="BK82" s="217" t="str">
        <f>IF(OR(N82="",O82="",P82=""),"M",1)</f>
        <v>M</v>
      </c>
      <c r="BL82" s="217" t="str">
        <f>IF(OR(Q82="",R82="",S82=""),"M",1)</f>
        <v>M</v>
      </c>
      <c r="BM82" s="217">
        <f>IF(AND(BH82="M",BI82="M",BJ82="M",BK82="M",BL82="M",D82=""),0,1)</f>
        <v>0</v>
      </c>
      <c r="BN82" s="216"/>
      <c r="BO82" s="216"/>
      <c r="BP82" s="218"/>
    </row>
    <row r="83" spans="1:68" ht="17.25" customHeight="1">
      <c r="A83" s="296">
        <v>-16</v>
      </c>
      <c r="B83" s="297">
        <f t="shared" si="12"/>
        <v>-16</v>
      </c>
      <c r="C83" s="298">
        <f t="shared" si="12"/>
        <v>-16</v>
      </c>
      <c r="D83" s="241"/>
      <c r="E83" s="46"/>
      <c r="F83" s="47"/>
      <c r="G83" s="48"/>
      <c r="H83" s="46"/>
      <c r="I83" s="47"/>
      <c r="J83" s="48"/>
      <c r="K83" s="46"/>
      <c r="L83" s="47"/>
      <c r="M83" s="48"/>
      <c r="N83" s="46"/>
      <c r="O83" s="47"/>
      <c r="P83" s="48"/>
      <c r="Q83" s="46"/>
      <c r="R83" s="47"/>
      <c r="S83" s="94"/>
      <c r="T83" s="92" t="str">
        <f>IF(BM83=0,"M",IF(D83="p1",AK83,IF(D83="p2",AL83,IF(D83="A",0,((E83*F83)*G83/0.6)+((H83*I83)*J83/0.6)+((K83*L83)*M83/0.6)+((N83*O83)*P83/0.6)+((Q83*R83)*S83/0.6)))))</f>
        <v>M</v>
      </c>
      <c r="U83" s="264" t="str">
        <f>IF(T83=Calculator!T83,"VALID","ERROR")</f>
        <v>VALID</v>
      </c>
      <c r="V83" s="127"/>
      <c r="W83" s="305">
        <f t="shared" si="13"/>
        <v>0</v>
      </c>
      <c r="X83" s="209"/>
      <c r="Y83" s="209"/>
      <c r="Z83" s="209"/>
      <c r="AA83" s="209"/>
      <c r="AB83" s="257"/>
      <c r="AC83" s="261"/>
      <c r="AD83" s="234"/>
      <c r="AE83" s="234"/>
      <c r="AF83" s="234"/>
      <c r="AG83" s="234"/>
      <c r="AH83" s="234"/>
      <c r="AK83" s="212" t="b">
        <f t="shared" si="14"/>
        <v>0</v>
      </c>
      <c r="AL83" s="212" t="b">
        <f t="shared" si="3"/>
        <v>0</v>
      </c>
      <c r="AM83" s="212" t="str">
        <f>IF(D83="p1",AP83,"no")</f>
        <v>no</v>
      </c>
      <c r="AN83" s="212" t="str">
        <f>IF(D83="p2",AP83,"no")</f>
        <v>no</v>
      </c>
      <c r="AO83" s="213"/>
      <c r="AP83" s="212" t="e">
        <f>WEEKDAY(C83)</f>
        <v>#NUM!</v>
      </c>
      <c r="AQ83" s="292" t="str">
        <f t="shared" si="15"/>
        <v>M</v>
      </c>
      <c r="AR83" s="292" t="str">
        <f t="shared" si="15"/>
        <v>M</v>
      </c>
      <c r="AS83" s="292" t="str">
        <f t="shared" si="15"/>
        <v>M</v>
      </c>
      <c r="AT83" s="292" t="str">
        <f t="shared" si="15"/>
        <v>M</v>
      </c>
      <c r="AU83" s="292" t="str">
        <f t="shared" si="15"/>
        <v>M</v>
      </c>
      <c r="AV83" s="292" t="str">
        <f t="shared" si="15"/>
        <v>M</v>
      </c>
      <c r="AW83" s="292" t="str">
        <f t="shared" si="15"/>
        <v>M</v>
      </c>
      <c r="AX83" s="215"/>
      <c r="AY83" s="214">
        <f t="shared" si="16"/>
        <v>0</v>
      </c>
      <c r="AZ83" s="214">
        <f t="shared" si="16"/>
        <v>0</v>
      </c>
      <c r="BA83" s="214">
        <f t="shared" si="16"/>
        <v>0</v>
      </c>
      <c r="BB83" s="214">
        <f t="shared" si="16"/>
        <v>0</v>
      </c>
      <c r="BC83" s="214">
        <f t="shared" si="16"/>
        <v>0</v>
      </c>
      <c r="BD83" s="214">
        <f t="shared" si="16"/>
        <v>0</v>
      </c>
      <c r="BE83" s="214">
        <f t="shared" si="16"/>
        <v>0</v>
      </c>
      <c r="BH83" s="217" t="str">
        <f>IF(OR(E83="",F83="",G83=""),"M",1)</f>
        <v>M</v>
      </c>
      <c r="BI83" s="217" t="str">
        <f>IF(OR(H83="",I83="",J83=""),"M",1)</f>
        <v>M</v>
      </c>
      <c r="BJ83" s="217" t="str">
        <f>IF(OR(K83="",L83="",M83=""),"M",1)</f>
        <v>M</v>
      </c>
      <c r="BK83" s="217" t="str">
        <f>IF(OR(N83="",O83="",P83=""),"M",1)</f>
        <v>M</v>
      </c>
      <c r="BL83" s="217" t="str">
        <f>IF(OR(Q83="",R83="",S83=""),"M",1)</f>
        <v>M</v>
      </c>
      <c r="BM83" s="217">
        <f>IF(AND(BH83="M",BI83="M",BJ83="M",BK83="M",BL83="M",D83=""),0,1)</f>
        <v>0</v>
      </c>
      <c r="BN83" s="216"/>
      <c r="BO83" s="216"/>
      <c r="BP83" s="218"/>
    </row>
    <row r="84" spans="1:68" ht="17.25" customHeight="1">
      <c r="A84" s="296">
        <v>-15</v>
      </c>
      <c r="B84" s="297">
        <f t="shared" si="12"/>
        <v>-15</v>
      </c>
      <c r="C84" s="298">
        <f t="shared" si="12"/>
        <v>-15</v>
      </c>
      <c r="D84" s="242"/>
      <c r="E84" s="46"/>
      <c r="F84" s="47"/>
      <c r="G84" s="48"/>
      <c r="H84" s="46"/>
      <c r="I84" s="47"/>
      <c r="J84" s="48"/>
      <c r="K84" s="46"/>
      <c r="L84" s="47"/>
      <c r="M84" s="48"/>
      <c r="N84" s="46"/>
      <c r="O84" s="47"/>
      <c r="P84" s="48"/>
      <c r="Q84" s="46"/>
      <c r="R84" s="47"/>
      <c r="S84" s="94"/>
      <c r="T84" s="92" t="str">
        <f>IF(BM84=0,"M",IF(D84="p1",AK84,IF(D84="p2",AL84,IF(D84="A",0,((E84*F84)*G84/0.6)+((H84*I84)*J84/0.6)+((K84*L84)*M84/0.6)+((N84*O84)*P84/0.6)+((Q84*R84)*S84/0.6)))))</f>
        <v>M</v>
      </c>
      <c r="U84" s="264" t="str">
        <f>IF(T84=Calculator!T84,"VALID","ERROR")</f>
        <v>VALID</v>
      </c>
      <c r="V84" s="127"/>
      <c r="W84" s="305">
        <f t="shared" si="13"/>
        <v>0</v>
      </c>
      <c r="X84" s="209"/>
      <c r="Y84" s="209"/>
      <c r="Z84" s="209"/>
      <c r="AA84" s="209"/>
      <c r="AB84" s="257"/>
      <c r="AC84" s="261"/>
      <c r="AD84" s="234"/>
      <c r="AE84" s="234"/>
      <c r="AF84" s="234"/>
      <c r="AG84" s="234"/>
      <c r="AH84" s="234"/>
      <c r="AK84" s="212" t="b">
        <f t="shared" si="14"/>
        <v>0</v>
      </c>
      <c r="AL84" s="212" t="b">
        <f t="shared" si="3"/>
        <v>0</v>
      </c>
      <c r="AM84" s="212" t="str">
        <f>IF(D84="p1",AP84,"no")</f>
        <v>no</v>
      </c>
      <c r="AN84" s="212" t="str">
        <f>IF(D84="p2",AP84,"no")</f>
        <v>no</v>
      </c>
      <c r="AO84" s="213"/>
      <c r="AP84" s="212" t="e">
        <f>WEEKDAY(C84)</f>
        <v>#NUM!</v>
      </c>
      <c r="AQ84" s="292" t="str">
        <f t="shared" si="15"/>
        <v>M</v>
      </c>
      <c r="AR84" s="292" t="str">
        <f t="shared" si="15"/>
        <v>M</v>
      </c>
      <c r="AS84" s="292" t="str">
        <f t="shared" si="15"/>
        <v>M</v>
      </c>
      <c r="AT84" s="292" t="str">
        <f t="shared" si="15"/>
        <v>M</v>
      </c>
      <c r="AU84" s="292" t="str">
        <f t="shared" si="15"/>
        <v>M</v>
      </c>
      <c r="AV84" s="292" t="str">
        <f t="shared" si="15"/>
        <v>M</v>
      </c>
      <c r="AW84" s="292" t="str">
        <f t="shared" si="15"/>
        <v>M</v>
      </c>
      <c r="AX84" s="215"/>
      <c r="AY84" s="214">
        <f t="shared" si="16"/>
        <v>0</v>
      </c>
      <c r="AZ84" s="214">
        <f t="shared" si="16"/>
        <v>0</v>
      </c>
      <c r="BA84" s="214">
        <f t="shared" si="16"/>
        <v>0</v>
      </c>
      <c r="BB84" s="214">
        <f t="shared" si="16"/>
        <v>0</v>
      </c>
      <c r="BC84" s="214">
        <f t="shared" si="16"/>
        <v>0</v>
      </c>
      <c r="BD84" s="214">
        <f t="shared" si="16"/>
        <v>0</v>
      </c>
      <c r="BE84" s="214">
        <f t="shared" si="16"/>
        <v>0</v>
      </c>
      <c r="BH84" s="217" t="str">
        <f>IF(OR(E84="",F84="",G84=""),"M",1)</f>
        <v>M</v>
      </c>
      <c r="BI84" s="217" t="str">
        <f>IF(OR(H84="",I84="",J84=""),"M",1)</f>
        <v>M</v>
      </c>
      <c r="BJ84" s="217" t="str">
        <f>IF(OR(K84="",L84="",M84=""),"M",1)</f>
        <v>M</v>
      </c>
      <c r="BK84" s="217" t="str">
        <f>IF(OR(N84="",O84="",P84=""),"M",1)</f>
        <v>M</v>
      </c>
      <c r="BL84" s="217" t="str">
        <f>IF(OR(Q84="",R84="",S84=""),"M",1)</f>
        <v>M</v>
      </c>
      <c r="BM84" s="217">
        <f>IF(AND(BH84="M",BI84="M",BJ84="M",BK84="M",BL84="M",D84=""),0,1)</f>
        <v>0</v>
      </c>
      <c r="BN84" s="216"/>
      <c r="BO84" s="216"/>
      <c r="BP84" s="218"/>
    </row>
    <row r="85" spans="1:68" ht="17.25" customHeight="1">
      <c r="A85" s="296">
        <v>-14</v>
      </c>
      <c r="B85" s="297">
        <f t="shared" si="12"/>
        <v>-14</v>
      </c>
      <c r="C85" s="298">
        <f t="shared" si="12"/>
        <v>-14</v>
      </c>
      <c r="D85" s="241"/>
      <c r="E85" s="46"/>
      <c r="F85" s="47"/>
      <c r="G85" s="48"/>
      <c r="H85" s="46"/>
      <c r="I85" s="47"/>
      <c r="J85" s="48"/>
      <c r="K85" s="46"/>
      <c r="L85" s="47"/>
      <c r="M85" s="48"/>
      <c r="N85" s="46"/>
      <c r="O85" s="47"/>
      <c r="P85" s="48"/>
      <c r="Q85" s="46"/>
      <c r="R85" s="47"/>
      <c r="S85" s="94"/>
      <c r="T85" s="92" t="str">
        <f>IF(BM85=0,"M",IF(D85="p1",AK85,IF(D85="p2",AL85,IF(D85="A",0,((E85*F85)*G85/0.6)+((H85*I85)*J85/0.6)+((K85*L85)*M85/0.6)+((N85*O85)*P85/0.6)+((Q85*R85)*S85/0.6)))))</f>
        <v>M</v>
      </c>
      <c r="U85" s="264" t="str">
        <f>IF(T85=Calculator!T85,"VALID","ERROR")</f>
        <v>VALID</v>
      </c>
      <c r="V85" s="127"/>
      <c r="W85" s="305">
        <f t="shared" si="13"/>
        <v>0</v>
      </c>
      <c r="X85" s="209"/>
      <c r="Y85" s="209"/>
      <c r="Z85" s="209"/>
      <c r="AA85" s="209"/>
      <c r="AB85" s="257"/>
      <c r="AC85" s="261"/>
      <c r="AD85" s="234"/>
      <c r="AE85" s="234"/>
      <c r="AF85" s="234"/>
      <c r="AG85" s="234"/>
      <c r="AH85" s="234"/>
      <c r="AK85" s="212" t="b">
        <f t="shared" si="14"/>
        <v>0</v>
      </c>
      <c r="AL85" s="212" t="b">
        <f t="shared" si="3"/>
        <v>0</v>
      </c>
      <c r="AM85" s="212" t="str">
        <f>IF(D85="p1",AP85,"no")</f>
        <v>no</v>
      </c>
      <c r="AN85" s="212" t="str">
        <f>IF(D85="p2",AP85,"no")</f>
        <v>no</v>
      </c>
      <c r="AO85" s="213"/>
      <c r="AP85" s="212" t="e">
        <f>WEEKDAY(C85)</f>
        <v>#NUM!</v>
      </c>
      <c r="AQ85" s="292" t="str">
        <f t="shared" si="15"/>
        <v>M</v>
      </c>
      <c r="AR85" s="292" t="str">
        <f t="shared" si="15"/>
        <v>M</v>
      </c>
      <c r="AS85" s="292" t="str">
        <f t="shared" si="15"/>
        <v>M</v>
      </c>
      <c r="AT85" s="292" t="str">
        <f t="shared" si="15"/>
        <v>M</v>
      </c>
      <c r="AU85" s="292" t="str">
        <f t="shared" si="15"/>
        <v>M</v>
      </c>
      <c r="AV85" s="292" t="str">
        <f t="shared" si="15"/>
        <v>M</v>
      </c>
      <c r="AW85" s="292" t="str">
        <f t="shared" si="15"/>
        <v>M</v>
      </c>
      <c r="AX85" s="215"/>
      <c r="AY85" s="214">
        <f t="shared" si="16"/>
        <v>0</v>
      </c>
      <c r="AZ85" s="214">
        <f t="shared" si="16"/>
        <v>0</v>
      </c>
      <c r="BA85" s="214">
        <f t="shared" si="16"/>
        <v>0</v>
      </c>
      <c r="BB85" s="214">
        <f t="shared" si="16"/>
        <v>0</v>
      </c>
      <c r="BC85" s="214">
        <f t="shared" si="16"/>
        <v>0</v>
      </c>
      <c r="BD85" s="214">
        <f t="shared" si="16"/>
        <v>0</v>
      </c>
      <c r="BE85" s="214">
        <f t="shared" si="16"/>
        <v>0</v>
      </c>
      <c r="BH85" s="217" t="str">
        <f>IF(OR(E85="",F85="",G85=""),"M",1)</f>
        <v>M</v>
      </c>
      <c r="BI85" s="217" t="str">
        <f>IF(OR(H85="",I85="",J85=""),"M",1)</f>
        <v>M</v>
      </c>
      <c r="BJ85" s="217" t="str">
        <f>IF(OR(K85="",L85="",M85=""),"M",1)</f>
        <v>M</v>
      </c>
      <c r="BK85" s="217" t="str">
        <f>IF(OR(N85="",O85="",P85=""),"M",1)</f>
        <v>M</v>
      </c>
      <c r="BL85" s="217" t="str">
        <f>IF(OR(Q85="",R85="",S85=""),"M",1)</f>
        <v>M</v>
      </c>
      <c r="BM85" s="217">
        <f>IF(AND(BH85="M",BI85="M",BJ85="M",BK85="M",BL85="M",D85=""),0,1)</f>
        <v>0</v>
      </c>
      <c r="BN85" s="216"/>
      <c r="BO85" s="216"/>
      <c r="BP85" s="218"/>
    </row>
    <row r="86" spans="1:68" ht="17.25" customHeight="1">
      <c r="A86" s="296">
        <v>-13</v>
      </c>
      <c r="B86" s="297">
        <f t="shared" si="12"/>
        <v>-13</v>
      </c>
      <c r="C86" s="298">
        <f t="shared" si="12"/>
        <v>-13</v>
      </c>
      <c r="D86" s="242"/>
      <c r="E86" s="46"/>
      <c r="F86" s="47"/>
      <c r="G86" s="48"/>
      <c r="H86" s="46"/>
      <c r="I86" s="47"/>
      <c r="J86" s="48"/>
      <c r="K86" s="46"/>
      <c r="L86" s="47"/>
      <c r="M86" s="48"/>
      <c r="N86" s="46"/>
      <c r="O86" s="47"/>
      <c r="P86" s="48"/>
      <c r="Q86" s="46"/>
      <c r="R86" s="47"/>
      <c r="S86" s="94"/>
      <c r="T86" s="92" t="str">
        <f>IF(BM86=0,"M",IF(D86="p1",AK86,IF(D86="p2",AL86,IF(D86="A",0,((E86*F86)*G86/0.6)+((H86*I86)*J86/0.6)+((K86*L86)*M86/0.6)+((N86*O86)*P86/0.6)+((Q86*R86)*S86/0.6)))))</f>
        <v>M</v>
      </c>
      <c r="U86" s="264" t="str">
        <f>IF(T86=Calculator!T86,"VALID","ERROR")</f>
        <v>VALID</v>
      </c>
      <c r="V86" s="127"/>
      <c r="W86" s="305">
        <f t="shared" si="13"/>
        <v>0</v>
      </c>
      <c r="X86" s="209"/>
      <c r="Y86" s="209"/>
      <c r="Z86" s="209"/>
      <c r="AA86" s="209"/>
      <c r="AB86" s="257"/>
      <c r="AC86" s="261"/>
      <c r="AD86" s="234"/>
      <c r="AE86" s="234"/>
      <c r="AF86" s="234"/>
      <c r="AG86" s="234"/>
      <c r="AH86" s="234"/>
      <c r="AK86" s="212" t="b">
        <f t="shared" si="14"/>
        <v>0</v>
      </c>
      <c r="AL86" s="212" t="b">
        <f t="shared" si="3"/>
        <v>0</v>
      </c>
      <c r="AM86" s="212" t="str">
        <f>IF(D86="p1",AP86,"no")</f>
        <v>no</v>
      </c>
      <c r="AN86" s="212" t="str">
        <f>IF(D86="p2",AP86,"no")</f>
        <v>no</v>
      </c>
      <c r="AO86" s="213"/>
      <c r="AP86" s="212" t="e">
        <f>WEEKDAY(C86)</f>
        <v>#NUM!</v>
      </c>
      <c r="AQ86" s="292" t="str">
        <f t="shared" si="15"/>
        <v>M</v>
      </c>
      <c r="AR86" s="292" t="str">
        <f t="shared" si="15"/>
        <v>M</v>
      </c>
      <c r="AS86" s="292" t="str">
        <f t="shared" si="15"/>
        <v>M</v>
      </c>
      <c r="AT86" s="292" t="str">
        <f t="shared" si="15"/>
        <v>M</v>
      </c>
      <c r="AU86" s="292" t="str">
        <f t="shared" si="15"/>
        <v>M</v>
      </c>
      <c r="AV86" s="292" t="str">
        <f t="shared" si="15"/>
        <v>M</v>
      </c>
      <c r="AW86" s="292" t="str">
        <f t="shared" si="15"/>
        <v>M</v>
      </c>
      <c r="AX86" s="215"/>
      <c r="AY86" s="214">
        <f t="shared" si="16"/>
        <v>0</v>
      </c>
      <c r="AZ86" s="214">
        <f t="shared" si="16"/>
        <v>0</v>
      </c>
      <c r="BA86" s="214">
        <f t="shared" si="16"/>
        <v>0</v>
      </c>
      <c r="BB86" s="214">
        <f t="shared" si="16"/>
        <v>0</v>
      </c>
      <c r="BC86" s="214">
        <f t="shared" si="16"/>
        <v>0</v>
      </c>
      <c r="BD86" s="214">
        <f t="shared" si="16"/>
        <v>0</v>
      </c>
      <c r="BE86" s="214">
        <f t="shared" si="16"/>
        <v>0</v>
      </c>
      <c r="BH86" s="217" t="str">
        <f>IF(OR(E86="",F86="",G86=""),"M",1)</f>
        <v>M</v>
      </c>
      <c r="BI86" s="217" t="str">
        <f>IF(OR(H86="",I86="",J86=""),"M",1)</f>
        <v>M</v>
      </c>
      <c r="BJ86" s="217" t="str">
        <f>IF(OR(K86="",L86="",M86=""),"M",1)</f>
        <v>M</v>
      </c>
      <c r="BK86" s="217" t="str">
        <f>IF(OR(N86="",O86="",P86=""),"M",1)</f>
        <v>M</v>
      </c>
      <c r="BL86" s="217" t="str">
        <f>IF(OR(Q86="",R86="",S86=""),"M",1)</f>
        <v>M</v>
      </c>
      <c r="BM86" s="217">
        <f>IF(AND(BH86="M",BI86="M",BJ86="M",BK86="M",BL86="M",D86=""),0,1)</f>
        <v>0</v>
      </c>
      <c r="BN86" s="216"/>
      <c r="BO86" s="216"/>
      <c r="BP86" s="218"/>
    </row>
    <row r="87" spans="1:68" ht="17.25" customHeight="1">
      <c r="A87" s="296">
        <v>-12</v>
      </c>
      <c r="B87" s="297">
        <f t="shared" si="12"/>
        <v>-12</v>
      </c>
      <c r="C87" s="298">
        <f t="shared" si="12"/>
        <v>-12</v>
      </c>
      <c r="D87" s="241"/>
      <c r="E87" s="46"/>
      <c r="F87" s="47"/>
      <c r="G87" s="48"/>
      <c r="H87" s="46"/>
      <c r="I87" s="47"/>
      <c r="J87" s="48"/>
      <c r="K87" s="46"/>
      <c r="L87" s="47"/>
      <c r="M87" s="48"/>
      <c r="N87" s="46"/>
      <c r="O87" s="47"/>
      <c r="P87" s="48"/>
      <c r="Q87" s="46"/>
      <c r="R87" s="47"/>
      <c r="S87" s="94"/>
      <c r="T87" s="92" t="str">
        <f>IF(BM87=0,"M",IF(D87="p1",AK87,IF(D87="p2",AL87,IF(D87="A",0,((E87*F87)*G87/0.6)+((H87*I87)*J87/0.6)+((K87*L87)*M87/0.6)+((N87*O87)*P87/0.6)+((Q87*R87)*S87/0.6)))))</f>
        <v>M</v>
      </c>
      <c r="U87" s="264" t="str">
        <f>IF(T87=Calculator!T87,"VALID","ERROR")</f>
        <v>VALID</v>
      </c>
      <c r="V87" s="127"/>
      <c r="W87" s="305">
        <f t="shared" si="13"/>
        <v>0</v>
      </c>
      <c r="X87" s="209"/>
      <c r="Y87" s="209"/>
      <c r="Z87" s="209"/>
      <c r="AA87" s="209"/>
      <c r="AB87" s="257"/>
      <c r="AC87" s="261"/>
      <c r="AD87" s="234"/>
      <c r="AE87" s="234"/>
      <c r="AF87" s="234"/>
      <c r="AG87" s="234"/>
      <c r="AH87" s="234"/>
      <c r="AK87" s="212" t="b">
        <f t="shared" si="14"/>
        <v>0</v>
      </c>
      <c r="AL87" s="212" t="b">
        <f t="shared" si="3"/>
        <v>0</v>
      </c>
      <c r="AM87" s="212" t="str">
        <f>IF(D87="p1",AP87,"no")</f>
        <v>no</v>
      </c>
      <c r="AN87" s="212" t="str">
        <f>IF(D87="p2",AP87,"no")</f>
        <v>no</v>
      </c>
      <c r="AO87" s="213"/>
      <c r="AP87" s="212" t="e">
        <f>WEEKDAY(C87)</f>
        <v>#NUM!</v>
      </c>
      <c r="AQ87" s="292" t="str">
        <f t="shared" si="15"/>
        <v>M</v>
      </c>
      <c r="AR87" s="292" t="str">
        <f t="shared" si="15"/>
        <v>M</v>
      </c>
      <c r="AS87" s="292" t="str">
        <f t="shared" si="15"/>
        <v>M</v>
      </c>
      <c r="AT87" s="292" t="str">
        <f t="shared" si="15"/>
        <v>M</v>
      </c>
      <c r="AU87" s="292" t="str">
        <f t="shared" si="15"/>
        <v>M</v>
      </c>
      <c r="AV87" s="292" t="str">
        <f t="shared" si="15"/>
        <v>M</v>
      </c>
      <c r="AW87" s="292" t="str">
        <f t="shared" si="15"/>
        <v>M</v>
      </c>
      <c r="AX87" s="215"/>
      <c r="AY87" s="214">
        <f t="shared" si="16"/>
        <v>0</v>
      </c>
      <c r="AZ87" s="214">
        <f t="shared" si="16"/>
        <v>0</v>
      </c>
      <c r="BA87" s="214">
        <f t="shared" si="16"/>
        <v>0</v>
      </c>
      <c r="BB87" s="214">
        <f t="shared" si="16"/>
        <v>0</v>
      </c>
      <c r="BC87" s="214">
        <f t="shared" si="16"/>
        <v>0</v>
      </c>
      <c r="BD87" s="214">
        <f t="shared" si="16"/>
        <v>0</v>
      </c>
      <c r="BE87" s="214">
        <f t="shared" si="16"/>
        <v>0</v>
      </c>
      <c r="BH87" s="217" t="str">
        <f>IF(OR(E87="",F87="",G87=""),"M",1)</f>
        <v>M</v>
      </c>
      <c r="BI87" s="217" t="str">
        <f>IF(OR(H87="",I87="",J87=""),"M",1)</f>
        <v>M</v>
      </c>
      <c r="BJ87" s="217" t="str">
        <f>IF(OR(K87="",L87="",M87=""),"M",1)</f>
        <v>M</v>
      </c>
      <c r="BK87" s="217" t="str">
        <f>IF(OR(N87="",O87="",P87=""),"M",1)</f>
        <v>M</v>
      </c>
      <c r="BL87" s="217" t="str">
        <f>IF(OR(Q87="",R87="",S87=""),"M",1)</f>
        <v>M</v>
      </c>
      <c r="BM87" s="217">
        <f>IF(AND(BH87="M",BI87="M",BJ87="M",BK87="M",BL87="M",D87=""),0,1)</f>
        <v>0</v>
      </c>
      <c r="BN87" s="216"/>
      <c r="BO87" s="216"/>
      <c r="BP87" s="218"/>
    </row>
    <row r="88" spans="1:68" ht="17.25" customHeight="1">
      <c r="A88" s="296">
        <v>-11</v>
      </c>
      <c r="B88" s="297">
        <f t="shared" si="12"/>
        <v>-11</v>
      </c>
      <c r="C88" s="298">
        <f t="shared" si="12"/>
        <v>-11</v>
      </c>
      <c r="D88" s="242"/>
      <c r="E88" s="46"/>
      <c r="F88" s="47"/>
      <c r="G88" s="48"/>
      <c r="H88" s="46"/>
      <c r="I88" s="47"/>
      <c r="J88" s="48"/>
      <c r="K88" s="46"/>
      <c r="L88" s="47"/>
      <c r="M88" s="48"/>
      <c r="N88" s="46"/>
      <c r="O88" s="47"/>
      <c r="P88" s="48"/>
      <c r="Q88" s="46"/>
      <c r="R88" s="47"/>
      <c r="S88" s="94"/>
      <c r="T88" s="92" t="str">
        <f>IF(BM88=0,"M",IF(D88="p1",AK88,IF(D88="p2",AL88,IF(D88="A",0,((E88*F88)*G88/0.6)+((H88*I88)*J88/0.6)+((K88*L88)*M88/0.6)+((N88*O88)*P88/0.6)+((Q88*R88)*S88/0.6)))))</f>
        <v>M</v>
      </c>
      <c r="U88" s="264" t="str">
        <f>IF(T88=Calculator!T88,"VALID","ERROR")</f>
        <v>VALID</v>
      </c>
      <c r="V88" s="127"/>
      <c r="W88" s="305">
        <f t="shared" si="13"/>
        <v>0</v>
      </c>
      <c r="X88" s="209"/>
      <c r="Y88" s="209"/>
      <c r="Z88" s="209"/>
      <c r="AA88" s="209"/>
      <c r="AB88" s="257"/>
      <c r="AC88" s="261"/>
      <c r="AD88" s="234"/>
      <c r="AE88" s="234"/>
      <c r="AF88" s="234"/>
      <c r="AG88" s="234"/>
      <c r="AH88" s="234"/>
      <c r="AK88" s="212" t="b">
        <f t="shared" si="14"/>
        <v>0</v>
      </c>
      <c r="AL88" s="212" t="b">
        <f t="shared" si="3"/>
        <v>0</v>
      </c>
      <c r="AM88" s="212" t="str">
        <f>IF(D88="p1",AP88,"no")</f>
        <v>no</v>
      </c>
      <c r="AN88" s="212" t="str">
        <f>IF(D88="p2",AP88,"no")</f>
        <v>no</v>
      </c>
      <c r="AO88" s="213"/>
      <c r="AP88" s="212" t="e">
        <f>WEEKDAY(C88)</f>
        <v>#NUM!</v>
      </c>
      <c r="AQ88" s="292" t="str">
        <f t="shared" si="15"/>
        <v>M</v>
      </c>
      <c r="AR88" s="292" t="str">
        <f t="shared" si="15"/>
        <v>M</v>
      </c>
      <c r="AS88" s="292" t="str">
        <f t="shared" si="15"/>
        <v>M</v>
      </c>
      <c r="AT88" s="292" t="str">
        <f t="shared" si="15"/>
        <v>M</v>
      </c>
      <c r="AU88" s="292" t="str">
        <f t="shared" si="15"/>
        <v>M</v>
      </c>
      <c r="AV88" s="292" t="str">
        <f t="shared" si="15"/>
        <v>M</v>
      </c>
      <c r="AW88" s="292" t="str">
        <f t="shared" si="15"/>
        <v>M</v>
      </c>
      <c r="AX88" s="215"/>
      <c r="AY88" s="214">
        <f t="shared" si="16"/>
        <v>0</v>
      </c>
      <c r="AZ88" s="214">
        <f t="shared" si="16"/>
        <v>0</v>
      </c>
      <c r="BA88" s="214">
        <f t="shared" si="16"/>
        <v>0</v>
      </c>
      <c r="BB88" s="214">
        <f t="shared" si="16"/>
        <v>0</v>
      </c>
      <c r="BC88" s="214">
        <f t="shared" si="16"/>
        <v>0</v>
      </c>
      <c r="BD88" s="214">
        <f t="shared" si="16"/>
        <v>0</v>
      </c>
      <c r="BE88" s="214">
        <f t="shared" si="16"/>
        <v>0</v>
      </c>
      <c r="BH88" s="217" t="str">
        <f>IF(OR(E88="",F88="",G88=""),"M",1)</f>
        <v>M</v>
      </c>
      <c r="BI88" s="217" t="str">
        <f>IF(OR(H88="",I88="",J88=""),"M",1)</f>
        <v>M</v>
      </c>
      <c r="BJ88" s="217" t="str">
        <f>IF(OR(K88="",L88="",M88=""),"M",1)</f>
        <v>M</v>
      </c>
      <c r="BK88" s="217" t="str">
        <f>IF(OR(N88="",O88="",P88=""),"M",1)</f>
        <v>M</v>
      </c>
      <c r="BL88" s="217" t="str">
        <f>IF(OR(Q88="",R88="",S88=""),"M",1)</f>
        <v>M</v>
      </c>
      <c r="BM88" s="217">
        <f>IF(AND(BH88="M",BI88="M",BJ88="M",BK88="M",BL88="M",D88=""),0,1)</f>
        <v>0</v>
      </c>
      <c r="BN88" s="216"/>
      <c r="BO88" s="216"/>
      <c r="BP88" s="218"/>
    </row>
    <row r="89" spans="1:68" ht="17.25" customHeight="1">
      <c r="A89" s="296">
        <v>-10</v>
      </c>
      <c r="B89" s="297">
        <f t="shared" si="12"/>
        <v>-10</v>
      </c>
      <c r="C89" s="298">
        <f t="shared" si="12"/>
        <v>-10</v>
      </c>
      <c r="D89" s="241"/>
      <c r="E89" s="46"/>
      <c r="F89" s="47"/>
      <c r="G89" s="48"/>
      <c r="H89" s="46"/>
      <c r="I89" s="47"/>
      <c r="J89" s="48"/>
      <c r="K89" s="46"/>
      <c r="L89" s="47"/>
      <c r="M89" s="48"/>
      <c r="N89" s="46"/>
      <c r="O89" s="47"/>
      <c r="P89" s="48"/>
      <c r="Q89" s="46"/>
      <c r="R89" s="47"/>
      <c r="S89" s="94"/>
      <c r="T89" s="92" t="str">
        <f>IF(BM89=0,"M",IF(D89="p1",AK89,IF(D89="p2",AL89,IF(D89="A",0,((E89*F89)*G89/0.6)+((H89*I89)*J89/0.6)+((K89*L89)*M89/0.6)+((N89*O89)*P89/0.6)+((Q89*R89)*S89/0.6)))))</f>
        <v>M</v>
      </c>
      <c r="U89" s="264" t="str">
        <f>IF(T89=Calculator!T89,"VALID","ERROR")</f>
        <v>VALID</v>
      </c>
      <c r="V89" s="127"/>
      <c r="W89" s="305">
        <f t="shared" si="13"/>
        <v>0</v>
      </c>
      <c r="X89" s="209"/>
      <c r="Y89" s="209"/>
      <c r="Z89" s="209"/>
      <c r="AA89" s="209"/>
      <c r="AB89" s="257"/>
      <c r="AC89" s="261"/>
      <c r="AD89" s="234"/>
      <c r="AE89" s="234"/>
      <c r="AF89" s="234"/>
      <c r="AG89" s="234"/>
      <c r="AH89" s="234"/>
      <c r="AK89" s="212" t="b">
        <f t="shared" si="14"/>
        <v>0</v>
      </c>
      <c r="AL89" s="212" t="b">
        <f t="shared" si="3"/>
        <v>0</v>
      </c>
      <c r="AM89" s="212" t="str">
        <f>IF(D89="p1",AP89,"no")</f>
        <v>no</v>
      </c>
      <c r="AN89" s="212" t="str">
        <f>IF(D89="p2",AP89,"no")</f>
        <v>no</v>
      </c>
      <c r="AO89" s="213"/>
      <c r="AP89" s="212" t="e">
        <f>WEEKDAY(C89)</f>
        <v>#NUM!</v>
      </c>
      <c r="AQ89" s="292" t="str">
        <f t="shared" si="15"/>
        <v>M</v>
      </c>
      <c r="AR89" s="292" t="str">
        <f t="shared" si="15"/>
        <v>M</v>
      </c>
      <c r="AS89" s="292" t="str">
        <f t="shared" si="15"/>
        <v>M</v>
      </c>
      <c r="AT89" s="292" t="str">
        <f t="shared" si="15"/>
        <v>M</v>
      </c>
      <c r="AU89" s="292" t="str">
        <f t="shared" si="15"/>
        <v>M</v>
      </c>
      <c r="AV89" s="292" t="str">
        <f t="shared" si="15"/>
        <v>M</v>
      </c>
      <c r="AW89" s="292" t="str">
        <f t="shared" si="15"/>
        <v>M</v>
      </c>
      <c r="AX89" s="215"/>
      <c r="AY89" s="214">
        <f t="shared" si="16"/>
        <v>0</v>
      </c>
      <c r="AZ89" s="214">
        <f t="shared" si="16"/>
        <v>0</v>
      </c>
      <c r="BA89" s="214">
        <f t="shared" si="16"/>
        <v>0</v>
      </c>
      <c r="BB89" s="214">
        <f t="shared" si="16"/>
        <v>0</v>
      </c>
      <c r="BC89" s="214">
        <f t="shared" si="16"/>
        <v>0</v>
      </c>
      <c r="BD89" s="214">
        <f t="shared" si="16"/>
        <v>0</v>
      </c>
      <c r="BE89" s="214">
        <f t="shared" si="16"/>
        <v>0</v>
      </c>
      <c r="BH89" s="217" t="str">
        <f>IF(OR(E89="",F89="",G89=""),"M",1)</f>
        <v>M</v>
      </c>
      <c r="BI89" s="217" t="str">
        <f>IF(OR(H89="",I89="",J89=""),"M",1)</f>
        <v>M</v>
      </c>
      <c r="BJ89" s="217" t="str">
        <f>IF(OR(K89="",L89="",M89=""),"M",1)</f>
        <v>M</v>
      </c>
      <c r="BK89" s="217" t="str">
        <f>IF(OR(N89="",O89="",P89=""),"M",1)</f>
        <v>M</v>
      </c>
      <c r="BL89" s="217" t="str">
        <f>IF(OR(Q89="",R89="",S89=""),"M",1)</f>
        <v>M</v>
      </c>
      <c r="BM89" s="217">
        <f>IF(AND(BH89="M",BI89="M",BJ89="M",BK89="M",BL89="M",D89=""),0,1)</f>
        <v>0</v>
      </c>
      <c r="BN89" s="216"/>
      <c r="BO89" s="216"/>
      <c r="BP89" s="218"/>
    </row>
    <row r="90" spans="1:68" ht="17.25" customHeight="1">
      <c r="A90" s="296">
        <v>-9</v>
      </c>
      <c r="B90" s="297">
        <f t="shared" si="12"/>
        <v>-9</v>
      </c>
      <c r="C90" s="298">
        <f t="shared" si="12"/>
        <v>-9</v>
      </c>
      <c r="D90" s="242"/>
      <c r="E90" s="46"/>
      <c r="F90" s="47"/>
      <c r="G90" s="48"/>
      <c r="H90" s="46"/>
      <c r="I90" s="47"/>
      <c r="J90" s="48"/>
      <c r="K90" s="46"/>
      <c r="L90" s="47"/>
      <c r="M90" s="48"/>
      <c r="N90" s="46"/>
      <c r="O90" s="47"/>
      <c r="P90" s="48"/>
      <c r="Q90" s="46"/>
      <c r="R90" s="47"/>
      <c r="S90" s="94"/>
      <c r="T90" s="92" t="str">
        <f>IF(BM90=0,"M",IF(D90="p1",AK90,IF(D90="p2",AL90,IF(D90="A",0,((E90*F90)*G90/0.6)+((H90*I90)*J90/0.6)+((K90*L90)*M90/0.6)+((N90*O90)*P90/0.6)+((Q90*R90)*S90/0.6)))))</f>
        <v>M</v>
      </c>
      <c r="U90" s="264" t="str">
        <f>IF(T90=Calculator!T90,"VALID","ERROR")</f>
        <v>VALID</v>
      </c>
      <c r="V90" s="127"/>
      <c r="W90" s="305">
        <f t="shared" si="13"/>
        <v>0</v>
      </c>
      <c r="X90" s="209"/>
      <c r="Y90" s="209"/>
      <c r="Z90" s="209"/>
      <c r="AA90" s="209"/>
      <c r="AB90" s="257"/>
      <c r="AC90" s="261"/>
      <c r="AD90" s="234"/>
      <c r="AE90" s="234"/>
      <c r="AF90" s="234"/>
      <c r="AG90" s="234"/>
      <c r="AH90" s="234"/>
      <c r="AK90" s="212" t="b">
        <f t="shared" si="14"/>
        <v>0</v>
      </c>
      <c r="AL90" s="212" t="b">
        <f t="shared" si="3"/>
        <v>0</v>
      </c>
      <c r="AM90" s="212" t="str">
        <f>IF(D90="p1",AP90,"no")</f>
        <v>no</v>
      </c>
      <c r="AN90" s="212" t="str">
        <f>IF(D90="p2",AP90,"no")</f>
        <v>no</v>
      </c>
      <c r="AO90" s="213"/>
      <c r="AP90" s="212" t="e">
        <f>WEEKDAY(C90)</f>
        <v>#NUM!</v>
      </c>
      <c r="AQ90" s="292" t="str">
        <f t="shared" ref="AQ90:AW98" si="17">AQ89</f>
        <v>M</v>
      </c>
      <c r="AR90" s="292" t="str">
        <f t="shared" si="17"/>
        <v>M</v>
      </c>
      <c r="AS90" s="292" t="str">
        <f t="shared" si="17"/>
        <v>M</v>
      </c>
      <c r="AT90" s="292" t="str">
        <f t="shared" si="17"/>
        <v>M</v>
      </c>
      <c r="AU90" s="292" t="str">
        <f t="shared" si="17"/>
        <v>M</v>
      </c>
      <c r="AV90" s="292" t="str">
        <f t="shared" si="17"/>
        <v>M</v>
      </c>
      <c r="AW90" s="292" t="str">
        <f t="shared" si="17"/>
        <v>M</v>
      </c>
      <c r="AX90" s="215"/>
      <c r="AY90" s="214">
        <f t="shared" ref="AY90:BE98" si="18">AY89</f>
        <v>0</v>
      </c>
      <c r="AZ90" s="214">
        <f t="shared" si="18"/>
        <v>0</v>
      </c>
      <c r="BA90" s="214">
        <f t="shared" si="18"/>
        <v>0</v>
      </c>
      <c r="BB90" s="214">
        <f t="shared" si="18"/>
        <v>0</v>
      </c>
      <c r="BC90" s="214">
        <f t="shared" si="18"/>
        <v>0</v>
      </c>
      <c r="BD90" s="214">
        <f t="shared" si="18"/>
        <v>0</v>
      </c>
      <c r="BE90" s="214">
        <f t="shared" si="18"/>
        <v>0</v>
      </c>
      <c r="BH90" s="217" t="str">
        <f>IF(OR(E90="",F90="",G90=""),"M",1)</f>
        <v>M</v>
      </c>
      <c r="BI90" s="217" t="str">
        <f>IF(OR(H90="",I90="",J90=""),"M",1)</f>
        <v>M</v>
      </c>
      <c r="BJ90" s="217" t="str">
        <f>IF(OR(K90="",L90="",M90=""),"M",1)</f>
        <v>M</v>
      </c>
      <c r="BK90" s="217" t="str">
        <f>IF(OR(N90="",O90="",P90=""),"M",1)</f>
        <v>M</v>
      </c>
      <c r="BL90" s="217" t="str">
        <f>IF(OR(Q90="",R90="",S90=""),"M",1)</f>
        <v>M</v>
      </c>
      <c r="BM90" s="217">
        <f>IF(AND(BH90="M",BI90="M",BJ90="M",BK90="M",BL90="M",D90=""),0,1)</f>
        <v>0</v>
      </c>
      <c r="BN90" s="216"/>
      <c r="BO90" s="216"/>
      <c r="BP90" s="218"/>
    </row>
    <row r="91" spans="1:68" ht="17.25" customHeight="1">
      <c r="A91" s="296">
        <v>-8</v>
      </c>
      <c r="B91" s="297">
        <f t="shared" si="12"/>
        <v>-8</v>
      </c>
      <c r="C91" s="298">
        <f t="shared" si="12"/>
        <v>-8</v>
      </c>
      <c r="D91" s="241"/>
      <c r="E91" s="46"/>
      <c r="F91" s="47"/>
      <c r="G91" s="48"/>
      <c r="H91" s="46"/>
      <c r="I91" s="47"/>
      <c r="J91" s="48"/>
      <c r="K91" s="46"/>
      <c r="L91" s="47"/>
      <c r="M91" s="48"/>
      <c r="N91" s="46"/>
      <c r="O91" s="47"/>
      <c r="P91" s="48"/>
      <c r="Q91" s="46"/>
      <c r="R91" s="47"/>
      <c r="S91" s="94"/>
      <c r="T91" s="92" t="str">
        <f>IF(BM91=0,"M",IF(D91="p1",AK91,IF(D91="p2",AL91,IF(D91="A",0,((E91*F91)*G91/0.6)+((H91*I91)*J91/0.6)+((K91*L91)*M91/0.6)+((N91*O91)*P91/0.6)+((Q91*R91)*S91/0.6)))))</f>
        <v>M</v>
      </c>
      <c r="U91" s="264" t="str">
        <f>IF(T91=Calculator!T91,"VALID","ERROR")</f>
        <v>VALID</v>
      </c>
      <c r="V91" s="127"/>
      <c r="W91" s="305">
        <f t="shared" si="13"/>
        <v>0</v>
      </c>
      <c r="X91" s="209"/>
      <c r="Y91" s="209"/>
      <c r="Z91" s="209"/>
      <c r="AA91" s="209"/>
      <c r="AB91" s="257"/>
      <c r="AC91" s="261"/>
      <c r="AD91" s="234"/>
      <c r="AE91" s="234"/>
      <c r="AF91" s="234"/>
      <c r="AG91" s="234"/>
      <c r="AH91" s="234"/>
      <c r="AK91" s="212" t="b">
        <f t="shared" si="14"/>
        <v>0</v>
      </c>
      <c r="AL91" s="212" t="b">
        <f t="shared" si="3"/>
        <v>0</v>
      </c>
      <c r="AM91" s="212" t="str">
        <f>IF(D91="p1",AP91,"no")</f>
        <v>no</v>
      </c>
      <c r="AN91" s="212" t="str">
        <f>IF(D91="p2",AP91,"no")</f>
        <v>no</v>
      </c>
      <c r="AO91" s="213"/>
      <c r="AP91" s="212" t="e">
        <f>WEEKDAY(C91)</f>
        <v>#NUM!</v>
      </c>
      <c r="AQ91" s="292" t="str">
        <f t="shared" si="17"/>
        <v>M</v>
      </c>
      <c r="AR91" s="292" t="str">
        <f t="shared" si="17"/>
        <v>M</v>
      </c>
      <c r="AS91" s="292" t="str">
        <f t="shared" si="17"/>
        <v>M</v>
      </c>
      <c r="AT91" s="292" t="str">
        <f t="shared" si="17"/>
        <v>M</v>
      </c>
      <c r="AU91" s="292" t="str">
        <f t="shared" si="17"/>
        <v>M</v>
      </c>
      <c r="AV91" s="292" t="str">
        <f t="shared" si="17"/>
        <v>M</v>
      </c>
      <c r="AW91" s="292" t="str">
        <f t="shared" si="17"/>
        <v>M</v>
      </c>
      <c r="AX91" s="215"/>
      <c r="AY91" s="214">
        <f t="shared" si="18"/>
        <v>0</v>
      </c>
      <c r="AZ91" s="214">
        <f t="shared" si="18"/>
        <v>0</v>
      </c>
      <c r="BA91" s="214">
        <f t="shared" si="18"/>
        <v>0</v>
      </c>
      <c r="BB91" s="214">
        <f t="shared" si="18"/>
        <v>0</v>
      </c>
      <c r="BC91" s="214">
        <f t="shared" si="18"/>
        <v>0</v>
      </c>
      <c r="BD91" s="214">
        <f t="shared" si="18"/>
        <v>0</v>
      </c>
      <c r="BE91" s="214">
        <f t="shared" si="18"/>
        <v>0</v>
      </c>
      <c r="BH91" s="217" t="str">
        <f>IF(OR(E91="",F91="",G91=""),"M",1)</f>
        <v>M</v>
      </c>
      <c r="BI91" s="217" t="str">
        <f>IF(OR(H91="",I91="",J91=""),"M",1)</f>
        <v>M</v>
      </c>
      <c r="BJ91" s="217" t="str">
        <f>IF(OR(K91="",L91="",M91=""),"M",1)</f>
        <v>M</v>
      </c>
      <c r="BK91" s="217" t="str">
        <f>IF(OR(N91="",O91="",P91=""),"M",1)</f>
        <v>M</v>
      </c>
      <c r="BL91" s="217" t="str">
        <f>IF(OR(Q91="",R91="",S91=""),"M",1)</f>
        <v>M</v>
      </c>
      <c r="BM91" s="217">
        <f>IF(AND(BH91="M",BI91="M",BJ91="M",BK91="M",BL91="M",D91=""),0,1)</f>
        <v>0</v>
      </c>
      <c r="BN91" s="216"/>
      <c r="BO91" s="216"/>
      <c r="BP91" s="218"/>
    </row>
    <row r="92" spans="1:68" ht="17.25" customHeight="1">
      <c r="A92" s="296">
        <v>-7</v>
      </c>
      <c r="B92" s="297">
        <f t="shared" si="12"/>
        <v>-7</v>
      </c>
      <c r="C92" s="298">
        <f t="shared" si="12"/>
        <v>-7</v>
      </c>
      <c r="D92" s="242"/>
      <c r="E92" s="46"/>
      <c r="F92" s="47"/>
      <c r="G92" s="48"/>
      <c r="H92" s="46"/>
      <c r="I92" s="47"/>
      <c r="J92" s="48"/>
      <c r="K92" s="46"/>
      <c r="L92" s="47"/>
      <c r="M92" s="48"/>
      <c r="N92" s="46"/>
      <c r="O92" s="47"/>
      <c r="P92" s="48"/>
      <c r="Q92" s="46"/>
      <c r="R92" s="47"/>
      <c r="S92" s="94"/>
      <c r="T92" s="92" t="str">
        <f>IF(BM92=0,"M",IF(D92="p1",AK92,IF(D92="p2",AL92,IF(D92="A",0,((E92*F92)*G92/0.6)+((H92*I92)*J92/0.6)+((K92*L92)*M92/0.6)+((N92*O92)*P92/0.6)+((Q92*R92)*S92/0.6)))))</f>
        <v>M</v>
      </c>
      <c r="U92" s="264" t="str">
        <f>IF(T92=Calculator!T92,"VALID","ERROR")</f>
        <v>VALID</v>
      </c>
      <c r="V92" s="127"/>
      <c r="W92" s="305">
        <f t="shared" si="13"/>
        <v>0</v>
      </c>
      <c r="X92" s="209"/>
      <c r="Y92" s="209"/>
      <c r="Z92" s="209"/>
      <c r="AA92" s="209"/>
      <c r="AB92" s="257"/>
      <c r="AC92" s="261"/>
      <c r="AD92" s="234"/>
      <c r="AE92" s="234"/>
      <c r="AF92" s="234"/>
      <c r="AG92" s="234"/>
      <c r="AH92" s="234"/>
      <c r="AK92" s="212" t="b">
        <f t="shared" si="14"/>
        <v>0</v>
      </c>
      <c r="AL92" s="212" t="b">
        <f t="shared" si="3"/>
        <v>0</v>
      </c>
      <c r="AM92" s="212" t="str">
        <f>IF(D92="p1",AP92,"no")</f>
        <v>no</v>
      </c>
      <c r="AN92" s="212" t="str">
        <f>IF(D92="p2",AP92,"no")</f>
        <v>no</v>
      </c>
      <c r="AO92" s="213"/>
      <c r="AP92" s="212" t="e">
        <f>WEEKDAY(C92)</f>
        <v>#NUM!</v>
      </c>
      <c r="AQ92" s="292" t="str">
        <f t="shared" si="17"/>
        <v>M</v>
      </c>
      <c r="AR92" s="292" t="str">
        <f t="shared" si="17"/>
        <v>M</v>
      </c>
      <c r="AS92" s="292" t="str">
        <f t="shared" si="17"/>
        <v>M</v>
      </c>
      <c r="AT92" s="292" t="str">
        <f t="shared" si="17"/>
        <v>M</v>
      </c>
      <c r="AU92" s="292" t="str">
        <f t="shared" si="17"/>
        <v>M</v>
      </c>
      <c r="AV92" s="292" t="str">
        <f t="shared" si="17"/>
        <v>M</v>
      </c>
      <c r="AW92" s="292" t="str">
        <f t="shared" si="17"/>
        <v>M</v>
      </c>
      <c r="AX92" s="215"/>
      <c r="AY92" s="214">
        <f t="shared" si="18"/>
        <v>0</v>
      </c>
      <c r="AZ92" s="214">
        <f t="shared" si="18"/>
        <v>0</v>
      </c>
      <c r="BA92" s="214">
        <f t="shared" si="18"/>
        <v>0</v>
      </c>
      <c r="BB92" s="214">
        <f t="shared" si="18"/>
        <v>0</v>
      </c>
      <c r="BC92" s="214">
        <f t="shared" si="18"/>
        <v>0</v>
      </c>
      <c r="BD92" s="214">
        <f t="shared" si="18"/>
        <v>0</v>
      </c>
      <c r="BE92" s="214">
        <f t="shared" si="18"/>
        <v>0</v>
      </c>
      <c r="BH92" s="217" t="str">
        <f>IF(OR(E92="",F92="",G92=""),"M",1)</f>
        <v>M</v>
      </c>
      <c r="BI92" s="217" t="str">
        <f>IF(OR(H92="",I92="",J92=""),"M",1)</f>
        <v>M</v>
      </c>
      <c r="BJ92" s="217" t="str">
        <f>IF(OR(K92="",L92="",M92=""),"M",1)</f>
        <v>M</v>
      </c>
      <c r="BK92" s="217" t="str">
        <f>IF(OR(N92="",O92="",P92=""),"M",1)</f>
        <v>M</v>
      </c>
      <c r="BL92" s="217" t="str">
        <f>IF(OR(Q92="",R92="",S92=""),"M",1)</f>
        <v>M</v>
      </c>
      <c r="BM92" s="217">
        <f>IF(AND(BH92="M",BI92="M",BJ92="M",BK92="M",BL92="M",D92=""),0,1)</f>
        <v>0</v>
      </c>
      <c r="BN92" s="216"/>
      <c r="BO92" s="216"/>
      <c r="BP92" s="218"/>
    </row>
    <row r="93" spans="1:68" ht="17.25" customHeight="1">
      <c r="A93" s="296">
        <v>-6</v>
      </c>
      <c r="B93" s="297">
        <f t="shared" si="12"/>
        <v>-6</v>
      </c>
      <c r="C93" s="298">
        <f t="shared" si="12"/>
        <v>-6</v>
      </c>
      <c r="D93" s="241"/>
      <c r="E93" s="46"/>
      <c r="F93" s="47"/>
      <c r="G93" s="48"/>
      <c r="H93" s="46"/>
      <c r="I93" s="47"/>
      <c r="J93" s="48"/>
      <c r="K93" s="46"/>
      <c r="L93" s="47"/>
      <c r="M93" s="48"/>
      <c r="N93" s="46"/>
      <c r="O93" s="47"/>
      <c r="P93" s="48"/>
      <c r="Q93" s="46"/>
      <c r="R93" s="47"/>
      <c r="S93" s="94"/>
      <c r="T93" s="92" t="str">
        <f>IF(BM93=0,"M",IF(D93="p1",AK93,IF(D93="p2",AL93,IF(D93="A",0,((E93*F93)*G93/0.6)+((H93*I93)*J93/0.6)+((K93*L93)*M93/0.6)+((N93*O93)*P93/0.6)+((Q93*R93)*S93/0.6)))))</f>
        <v>M</v>
      </c>
      <c r="U93" s="264" t="str">
        <f>IF(T93=Calculator!T93,"VALID","ERROR")</f>
        <v>VALID</v>
      </c>
      <c r="V93" s="127"/>
      <c r="W93" s="305">
        <f t="shared" si="13"/>
        <v>0</v>
      </c>
      <c r="X93" s="209"/>
      <c r="Y93" s="209"/>
      <c r="Z93" s="209"/>
      <c r="AA93" s="209"/>
      <c r="AB93" s="257"/>
      <c r="AC93" s="261"/>
      <c r="AD93" s="234"/>
      <c r="AE93" s="234"/>
      <c r="AF93" s="234"/>
      <c r="AG93" s="234"/>
      <c r="AH93" s="234"/>
      <c r="AK93" s="212" t="b">
        <f t="shared" si="14"/>
        <v>0</v>
      </c>
      <c r="AL93" s="212" t="b">
        <f t="shared" si="3"/>
        <v>0</v>
      </c>
      <c r="AM93" s="212" t="str">
        <f>IF(D93="p1",AP93,"no")</f>
        <v>no</v>
      </c>
      <c r="AN93" s="212" t="str">
        <f>IF(D93="p2",AP93,"no")</f>
        <v>no</v>
      </c>
      <c r="AO93" s="213"/>
      <c r="AP93" s="212" t="e">
        <f>WEEKDAY(C93)</f>
        <v>#NUM!</v>
      </c>
      <c r="AQ93" s="292" t="str">
        <f t="shared" si="17"/>
        <v>M</v>
      </c>
      <c r="AR93" s="292" t="str">
        <f t="shared" si="17"/>
        <v>M</v>
      </c>
      <c r="AS93" s="292" t="str">
        <f t="shared" si="17"/>
        <v>M</v>
      </c>
      <c r="AT93" s="292" t="str">
        <f t="shared" si="17"/>
        <v>M</v>
      </c>
      <c r="AU93" s="292" t="str">
        <f t="shared" si="17"/>
        <v>M</v>
      </c>
      <c r="AV93" s="292" t="str">
        <f t="shared" si="17"/>
        <v>M</v>
      </c>
      <c r="AW93" s="292" t="str">
        <f t="shared" si="17"/>
        <v>M</v>
      </c>
      <c r="AX93" s="215"/>
      <c r="AY93" s="214">
        <f t="shared" si="18"/>
        <v>0</v>
      </c>
      <c r="AZ93" s="214">
        <f t="shared" si="18"/>
        <v>0</v>
      </c>
      <c r="BA93" s="214">
        <f t="shared" si="18"/>
        <v>0</v>
      </c>
      <c r="BB93" s="214">
        <f t="shared" si="18"/>
        <v>0</v>
      </c>
      <c r="BC93" s="214">
        <f t="shared" si="18"/>
        <v>0</v>
      </c>
      <c r="BD93" s="214">
        <f t="shared" si="18"/>
        <v>0</v>
      </c>
      <c r="BE93" s="214">
        <f t="shared" si="18"/>
        <v>0</v>
      </c>
      <c r="BH93" s="217" t="str">
        <f>IF(OR(E93="",F93="",G93=""),"M",1)</f>
        <v>M</v>
      </c>
      <c r="BI93" s="217" t="str">
        <f>IF(OR(H93="",I93="",J93=""),"M",1)</f>
        <v>M</v>
      </c>
      <c r="BJ93" s="217" t="str">
        <f>IF(OR(K93="",L93="",M93=""),"M",1)</f>
        <v>M</v>
      </c>
      <c r="BK93" s="217" t="str">
        <f>IF(OR(N93="",O93="",P93=""),"M",1)</f>
        <v>M</v>
      </c>
      <c r="BL93" s="217" t="str">
        <f>IF(OR(Q93="",R93="",S93=""),"M",1)</f>
        <v>M</v>
      </c>
      <c r="BM93" s="217">
        <f>IF(AND(BH93="M",BI93="M",BJ93="M",BK93="M",BL93="M",D93=""),0,1)</f>
        <v>0</v>
      </c>
      <c r="BN93" s="216"/>
      <c r="BO93" s="216"/>
      <c r="BP93" s="218"/>
    </row>
    <row r="94" spans="1:68" ht="17.25" customHeight="1">
      <c r="A94" s="296">
        <v>-5</v>
      </c>
      <c r="B94" s="297">
        <f t="shared" si="12"/>
        <v>-5</v>
      </c>
      <c r="C94" s="298">
        <f t="shared" si="12"/>
        <v>-5</v>
      </c>
      <c r="D94" s="242"/>
      <c r="E94" s="46"/>
      <c r="F94" s="47"/>
      <c r="G94" s="48"/>
      <c r="H94" s="46"/>
      <c r="I94" s="47"/>
      <c r="J94" s="48"/>
      <c r="K94" s="46"/>
      <c r="L94" s="47"/>
      <c r="M94" s="48"/>
      <c r="N94" s="46"/>
      <c r="O94" s="47"/>
      <c r="P94" s="48"/>
      <c r="Q94" s="46"/>
      <c r="R94" s="47"/>
      <c r="S94" s="94"/>
      <c r="T94" s="92" t="str">
        <f>IF(BM94=0,"M",IF(D94="p1",AK94,IF(D94="p2",AL94,IF(D94="A",0,((E94*F94)*G94/0.6)+((H94*I94)*J94/0.6)+((K94*L94)*M94/0.6)+((N94*O94)*P94/0.6)+((Q94*R94)*S94/0.6)))))</f>
        <v>M</v>
      </c>
      <c r="U94" s="264" t="str">
        <f>IF(T94=Calculator!T94,"VALID","ERROR")</f>
        <v>VALID</v>
      </c>
      <c r="V94" s="127"/>
      <c r="W94" s="305">
        <f t="shared" si="13"/>
        <v>0</v>
      </c>
      <c r="X94" s="209"/>
      <c r="Y94" s="209"/>
      <c r="Z94" s="209"/>
      <c r="AA94" s="209"/>
      <c r="AB94" s="257"/>
      <c r="AC94" s="261"/>
      <c r="AD94" s="234"/>
      <c r="AE94" s="234"/>
      <c r="AF94" s="234"/>
      <c r="AG94" s="234"/>
      <c r="AH94" s="234"/>
      <c r="AK94" s="212" t="b">
        <f t="shared" si="14"/>
        <v>0</v>
      </c>
      <c r="AL94" s="212" t="b">
        <f t="shared" si="3"/>
        <v>0</v>
      </c>
      <c r="AM94" s="212" t="str">
        <f>IF(D94="p1",AP94,"no")</f>
        <v>no</v>
      </c>
      <c r="AN94" s="212" t="str">
        <f>IF(D94="p2",AP94,"no")</f>
        <v>no</v>
      </c>
      <c r="AO94" s="213"/>
      <c r="AP94" s="212" t="e">
        <f>WEEKDAY(C94)</f>
        <v>#NUM!</v>
      </c>
      <c r="AQ94" s="292" t="str">
        <f t="shared" si="17"/>
        <v>M</v>
      </c>
      <c r="AR94" s="292" t="str">
        <f t="shared" si="17"/>
        <v>M</v>
      </c>
      <c r="AS94" s="292" t="str">
        <f t="shared" si="17"/>
        <v>M</v>
      </c>
      <c r="AT94" s="292" t="str">
        <f t="shared" si="17"/>
        <v>M</v>
      </c>
      <c r="AU94" s="292" t="str">
        <f t="shared" si="17"/>
        <v>M</v>
      </c>
      <c r="AV94" s="292" t="str">
        <f t="shared" si="17"/>
        <v>M</v>
      </c>
      <c r="AW94" s="292" t="str">
        <f t="shared" si="17"/>
        <v>M</v>
      </c>
      <c r="AX94" s="215"/>
      <c r="AY94" s="214">
        <f t="shared" si="18"/>
        <v>0</v>
      </c>
      <c r="AZ94" s="214">
        <f t="shared" si="18"/>
        <v>0</v>
      </c>
      <c r="BA94" s="214">
        <f t="shared" si="18"/>
        <v>0</v>
      </c>
      <c r="BB94" s="214">
        <f t="shared" si="18"/>
        <v>0</v>
      </c>
      <c r="BC94" s="214">
        <f t="shared" si="18"/>
        <v>0</v>
      </c>
      <c r="BD94" s="214">
        <f t="shared" si="18"/>
        <v>0</v>
      </c>
      <c r="BE94" s="214">
        <f t="shared" si="18"/>
        <v>0</v>
      </c>
      <c r="BH94" s="217" t="str">
        <f>IF(OR(E94="",F94="",G94=""),"M",1)</f>
        <v>M</v>
      </c>
      <c r="BI94" s="217" t="str">
        <f>IF(OR(H94="",I94="",J94=""),"M",1)</f>
        <v>M</v>
      </c>
      <c r="BJ94" s="217" t="str">
        <f>IF(OR(K94="",L94="",M94=""),"M",1)</f>
        <v>M</v>
      </c>
      <c r="BK94" s="217" t="str">
        <f>IF(OR(N94="",O94="",P94=""),"M",1)</f>
        <v>M</v>
      </c>
      <c r="BL94" s="217" t="str">
        <f>IF(OR(Q94="",R94="",S94=""),"M",1)</f>
        <v>M</v>
      </c>
      <c r="BM94" s="217">
        <f>IF(AND(BH94="M",BI94="M",BJ94="M",BK94="M",BL94="M",D94=""),0,1)</f>
        <v>0</v>
      </c>
      <c r="BN94" s="216"/>
      <c r="BO94" s="216"/>
      <c r="BP94" s="218"/>
    </row>
    <row r="95" spans="1:68" ht="17.25" customHeight="1">
      <c r="A95" s="296">
        <v>-4</v>
      </c>
      <c r="B95" s="297">
        <f t="shared" si="12"/>
        <v>-4</v>
      </c>
      <c r="C95" s="298">
        <f t="shared" si="12"/>
        <v>-4</v>
      </c>
      <c r="D95" s="241"/>
      <c r="E95" s="46"/>
      <c r="F95" s="47"/>
      <c r="G95" s="48"/>
      <c r="H95" s="46"/>
      <c r="I95" s="47"/>
      <c r="J95" s="48"/>
      <c r="K95" s="46"/>
      <c r="L95" s="47"/>
      <c r="M95" s="48"/>
      <c r="N95" s="46"/>
      <c r="O95" s="47"/>
      <c r="P95" s="48"/>
      <c r="Q95" s="46"/>
      <c r="R95" s="47"/>
      <c r="S95" s="94"/>
      <c r="T95" s="92" t="str">
        <f>IF(BM95=0,"M",IF(D95="p1",AK95,IF(D95="p2",AL95,IF(D95="A",0,((E95*F95)*G95/0.6)+((H95*I95)*J95/0.6)+((K95*L95)*M95/0.6)+((N95*O95)*P95/0.6)+((Q95*R95)*S95/0.6)))))</f>
        <v>M</v>
      </c>
      <c r="U95" s="264" t="str">
        <f>IF(T95=Calculator!T95,"VALID","ERROR")</f>
        <v>VALID</v>
      </c>
      <c r="V95" s="127"/>
      <c r="W95" s="305">
        <f t="shared" si="13"/>
        <v>0</v>
      </c>
      <c r="X95" s="209"/>
      <c r="Y95" s="209"/>
      <c r="Z95" s="209"/>
      <c r="AA95" s="209"/>
      <c r="AB95" s="257"/>
      <c r="AC95" s="261"/>
      <c r="AD95" s="234"/>
      <c r="AE95" s="234"/>
      <c r="AF95" s="234"/>
      <c r="AG95" s="234"/>
      <c r="AH95" s="234"/>
      <c r="AK95" s="212" t="b">
        <f t="shared" si="14"/>
        <v>0</v>
      </c>
      <c r="AL95" s="212" t="b">
        <f t="shared" si="3"/>
        <v>0</v>
      </c>
      <c r="AM95" s="212" t="str">
        <f>IF(D95="p1",AP95,"no")</f>
        <v>no</v>
      </c>
      <c r="AN95" s="212" t="str">
        <f>IF(D95="p2",AP95,"no")</f>
        <v>no</v>
      </c>
      <c r="AO95" s="213"/>
      <c r="AP95" s="212" t="e">
        <f>WEEKDAY(C95)</f>
        <v>#NUM!</v>
      </c>
      <c r="AQ95" s="292" t="str">
        <f t="shared" si="17"/>
        <v>M</v>
      </c>
      <c r="AR95" s="292" t="str">
        <f t="shared" si="17"/>
        <v>M</v>
      </c>
      <c r="AS95" s="292" t="str">
        <f t="shared" si="17"/>
        <v>M</v>
      </c>
      <c r="AT95" s="292" t="str">
        <f t="shared" si="17"/>
        <v>M</v>
      </c>
      <c r="AU95" s="292" t="str">
        <f t="shared" si="17"/>
        <v>M</v>
      </c>
      <c r="AV95" s="292" t="str">
        <f t="shared" si="17"/>
        <v>M</v>
      </c>
      <c r="AW95" s="292" t="str">
        <f t="shared" si="17"/>
        <v>M</v>
      </c>
      <c r="AX95" s="215"/>
      <c r="AY95" s="214">
        <f t="shared" si="18"/>
        <v>0</v>
      </c>
      <c r="AZ95" s="214">
        <f t="shared" si="18"/>
        <v>0</v>
      </c>
      <c r="BA95" s="214">
        <f t="shared" si="18"/>
        <v>0</v>
      </c>
      <c r="BB95" s="214">
        <f t="shared" si="18"/>
        <v>0</v>
      </c>
      <c r="BC95" s="214">
        <f t="shared" si="18"/>
        <v>0</v>
      </c>
      <c r="BD95" s="214">
        <f t="shared" si="18"/>
        <v>0</v>
      </c>
      <c r="BE95" s="214">
        <f t="shared" si="18"/>
        <v>0</v>
      </c>
      <c r="BH95" s="217" t="str">
        <f>IF(OR(E95="",F95="",G95=""),"M",1)</f>
        <v>M</v>
      </c>
      <c r="BI95" s="217" t="str">
        <f>IF(OR(H95="",I95="",J95=""),"M",1)</f>
        <v>M</v>
      </c>
      <c r="BJ95" s="217" t="str">
        <f>IF(OR(K95="",L95="",M95=""),"M",1)</f>
        <v>M</v>
      </c>
      <c r="BK95" s="217" t="str">
        <f>IF(OR(N95="",O95="",P95=""),"M",1)</f>
        <v>M</v>
      </c>
      <c r="BL95" s="217" t="str">
        <f>IF(OR(Q95="",R95="",S95=""),"M",1)</f>
        <v>M</v>
      </c>
      <c r="BM95" s="217">
        <f>IF(AND(BH95="M",BI95="M",BJ95="M",BK95="M",BL95="M",D95=""),0,1)</f>
        <v>0</v>
      </c>
      <c r="BN95" s="216"/>
      <c r="BO95" s="216"/>
      <c r="BP95" s="218"/>
    </row>
    <row r="96" spans="1:68" ht="17.25" customHeight="1">
      <c r="A96" s="296">
        <v>-3</v>
      </c>
      <c r="B96" s="297">
        <f t="shared" si="12"/>
        <v>-3</v>
      </c>
      <c r="C96" s="298">
        <f t="shared" si="12"/>
        <v>-3</v>
      </c>
      <c r="D96" s="242"/>
      <c r="E96" s="46"/>
      <c r="F96" s="47"/>
      <c r="G96" s="48"/>
      <c r="H96" s="46"/>
      <c r="I96" s="47"/>
      <c r="J96" s="48"/>
      <c r="K96" s="46"/>
      <c r="L96" s="47"/>
      <c r="M96" s="48"/>
      <c r="N96" s="46"/>
      <c r="O96" s="47"/>
      <c r="P96" s="48"/>
      <c r="Q96" s="46"/>
      <c r="R96" s="47"/>
      <c r="S96" s="94"/>
      <c r="T96" s="92" t="str">
        <f>IF(BM96=0,"M",IF(D96="p1",AK96,IF(D96="p2",AL96,IF(D96="A",0,((E96*F96)*G96/0.6)+((H96*I96)*J96/0.6)+((K96*L96)*M96/0.6)+((N96*O96)*P96/0.6)+((Q96*R96)*S96/0.6)))))</f>
        <v>M</v>
      </c>
      <c r="U96" s="264" t="str">
        <f>IF(T96=Calculator!T96,"VALID","ERROR")</f>
        <v>VALID</v>
      </c>
      <c r="V96" s="127"/>
      <c r="W96" s="305">
        <f t="shared" si="13"/>
        <v>0</v>
      </c>
      <c r="X96" s="209"/>
      <c r="Y96" s="209"/>
      <c r="Z96" s="209"/>
      <c r="AA96" s="209"/>
      <c r="AB96" s="257"/>
      <c r="AC96" s="261"/>
      <c r="AD96" s="234"/>
      <c r="AE96" s="234"/>
      <c r="AF96" s="234"/>
      <c r="AG96" s="234"/>
      <c r="AH96" s="234"/>
      <c r="AK96" s="212" t="b">
        <f t="shared" si="14"/>
        <v>0</v>
      </c>
      <c r="AL96" s="212" t="b">
        <f t="shared" si="3"/>
        <v>0</v>
      </c>
      <c r="AM96" s="212" t="str">
        <f>IF(D96="p1",AP96,"no")</f>
        <v>no</v>
      </c>
      <c r="AN96" s="212" t="str">
        <f>IF(D96="p2",AP96,"no")</f>
        <v>no</v>
      </c>
      <c r="AO96" s="213"/>
      <c r="AP96" s="212" t="e">
        <f>WEEKDAY(C96)</f>
        <v>#NUM!</v>
      </c>
      <c r="AQ96" s="292" t="str">
        <f t="shared" si="17"/>
        <v>M</v>
      </c>
      <c r="AR96" s="292" t="str">
        <f t="shared" si="17"/>
        <v>M</v>
      </c>
      <c r="AS96" s="292" t="str">
        <f t="shared" si="17"/>
        <v>M</v>
      </c>
      <c r="AT96" s="292" t="str">
        <f t="shared" si="17"/>
        <v>M</v>
      </c>
      <c r="AU96" s="292" t="str">
        <f t="shared" si="17"/>
        <v>M</v>
      </c>
      <c r="AV96" s="292" t="str">
        <f t="shared" si="17"/>
        <v>M</v>
      </c>
      <c r="AW96" s="292" t="str">
        <f t="shared" si="17"/>
        <v>M</v>
      </c>
      <c r="AX96" s="215"/>
      <c r="AY96" s="214">
        <f t="shared" si="18"/>
        <v>0</v>
      </c>
      <c r="AZ96" s="214">
        <f t="shared" si="18"/>
        <v>0</v>
      </c>
      <c r="BA96" s="214">
        <f t="shared" si="18"/>
        <v>0</v>
      </c>
      <c r="BB96" s="214">
        <f t="shared" si="18"/>
        <v>0</v>
      </c>
      <c r="BC96" s="214">
        <f t="shared" si="18"/>
        <v>0</v>
      </c>
      <c r="BD96" s="214">
        <f t="shared" si="18"/>
        <v>0</v>
      </c>
      <c r="BE96" s="214">
        <f t="shared" si="18"/>
        <v>0</v>
      </c>
      <c r="BH96" s="217" t="str">
        <f>IF(OR(E96="",F96="",G96=""),"M",1)</f>
        <v>M</v>
      </c>
      <c r="BI96" s="217" t="str">
        <f>IF(OR(H96="",I96="",J96=""),"M",1)</f>
        <v>M</v>
      </c>
      <c r="BJ96" s="217" t="str">
        <f>IF(OR(K96="",L96="",M96=""),"M",1)</f>
        <v>M</v>
      </c>
      <c r="BK96" s="217" t="str">
        <f>IF(OR(N96="",O96="",P96=""),"M",1)</f>
        <v>M</v>
      </c>
      <c r="BL96" s="217" t="str">
        <f>IF(OR(Q96="",R96="",S96=""),"M",1)</f>
        <v>M</v>
      </c>
      <c r="BM96" s="217">
        <f>IF(AND(BH96="M",BI96="M",BJ96="M",BK96="M",BL96="M",D96=""),0,1)</f>
        <v>0</v>
      </c>
      <c r="BN96" s="216"/>
      <c r="BO96" s="216"/>
      <c r="BP96" s="218"/>
    </row>
    <row r="97" spans="1:70" ht="17.25" customHeight="1">
      <c r="A97" s="296">
        <v>-2</v>
      </c>
      <c r="B97" s="297">
        <f>B98-1</f>
        <v>-2</v>
      </c>
      <c r="C97" s="298">
        <f>C98-1</f>
        <v>-2</v>
      </c>
      <c r="D97" s="241"/>
      <c r="E97" s="46"/>
      <c r="F97" s="47"/>
      <c r="G97" s="48"/>
      <c r="H97" s="46"/>
      <c r="I97" s="47"/>
      <c r="J97" s="48"/>
      <c r="K97" s="46"/>
      <c r="L97" s="47"/>
      <c r="M97" s="48"/>
      <c r="N97" s="46"/>
      <c r="O97" s="47"/>
      <c r="P97" s="48"/>
      <c r="Q97" s="46"/>
      <c r="R97" s="47"/>
      <c r="S97" s="94"/>
      <c r="T97" s="92" t="str">
        <f>IF(BM97=0,"M",IF(D97="p1",AK97,IF(D97="p2",AL97,IF(D97="A",0,((E97*F97)*G97/0.6)+((H97*I97)*J97/0.6)+((K97*L97)*M97/0.6)+((N97*O97)*P97/0.6)+((Q97*R97)*S97/0.6)))))</f>
        <v>M</v>
      </c>
      <c r="U97" s="264" t="str">
        <f>IF(T97=Calculator!T97,"VALID","ERROR")</f>
        <v>VALID</v>
      </c>
      <c r="V97" s="127"/>
      <c r="W97" s="305">
        <f t="shared" si="13"/>
        <v>0</v>
      </c>
      <c r="X97" s="209"/>
      <c r="Y97" s="209"/>
      <c r="Z97" s="209"/>
      <c r="AA97" s="209"/>
      <c r="AB97" s="257"/>
      <c r="AC97" s="261"/>
      <c r="AD97" s="234"/>
      <c r="AE97" s="234"/>
      <c r="AF97" s="234"/>
      <c r="AG97" s="234"/>
      <c r="AH97" s="234"/>
      <c r="AK97" s="212" t="b">
        <f t="shared" si="14"/>
        <v>0</v>
      </c>
      <c r="AL97" s="212" t="b">
        <f t="shared" si="3"/>
        <v>0</v>
      </c>
      <c r="AM97" s="212" t="str">
        <f>IF(D97="p1",AP97,"no")</f>
        <v>no</v>
      </c>
      <c r="AN97" s="212" t="str">
        <f>IF(D97="p2",AP97,"no")</f>
        <v>no</v>
      </c>
      <c r="AO97" s="213"/>
      <c r="AP97" s="212" t="e">
        <f>WEEKDAY(C97)</f>
        <v>#NUM!</v>
      </c>
      <c r="AQ97" s="292" t="str">
        <f t="shared" si="17"/>
        <v>M</v>
      </c>
      <c r="AR97" s="292" t="str">
        <f t="shared" si="17"/>
        <v>M</v>
      </c>
      <c r="AS97" s="292" t="str">
        <f t="shared" si="17"/>
        <v>M</v>
      </c>
      <c r="AT97" s="292" t="str">
        <f t="shared" si="17"/>
        <v>M</v>
      </c>
      <c r="AU97" s="292" t="str">
        <f t="shared" si="17"/>
        <v>M</v>
      </c>
      <c r="AV97" s="292" t="str">
        <f t="shared" si="17"/>
        <v>M</v>
      </c>
      <c r="AW97" s="292" t="str">
        <f t="shared" si="17"/>
        <v>M</v>
      </c>
      <c r="AX97" s="215"/>
      <c r="AY97" s="214">
        <f t="shared" si="18"/>
        <v>0</v>
      </c>
      <c r="AZ97" s="214">
        <f t="shared" si="18"/>
        <v>0</v>
      </c>
      <c r="BA97" s="214">
        <f t="shared" si="18"/>
        <v>0</v>
      </c>
      <c r="BB97" s="214">
        <f t="shared" si="18"/>
        <v>0</v>
      </c>
      <c r="BC97" s="214">
        <f t="shared" si="18"/>
        <v>0</v>
      </c>
      <c r="BD97" s="214">
        <f t="shared" si="18"/>
        <v>0</v>
      </c>
      <c r="BE97" s="214">
        <f t="shared" si="18"/>
        <v>0</v>
      </c>
      <c r="BH97" s="217" t="str">
        <f>IF(OR(E97="",F97="",G97=""),"M",1)</f>
        <v>M</v>
      </c>
      <c r="BI97" s="217" t="str">
        <f>IF(OR(H97="",I97="",J97=""),"M",1)</f>
        <v>M</v>
      </c>
      <c r="BJ97" s="217" t="str">
        <f>IF(OR(K97="",L97="",M97=""),"M",1)</f>
        <v>M</v>
      </c>
      <c r="BK97" s="217" t="str">
        <f>IF(OR(N97="",O97="",P97=""),"M",1)</f>
        <v>M</v>
      </c>
      <c r="BL97" s="217" t="str">
        <f>IF(OR(Q97="",R97="",S97=""),"M",1)</f>
        <v>M</v>
      </c>
      <c r="BM97" s="217">
        <f>IF(AND(BH97="M",BI97="M",BJ97="M",BK97="M",BL97="M",D97=""),0,1)</f>
        <v>0</v>
      </c>
      <c r="BN97" s="216"/>
      <c r="BO97" s="216"/>
      <c r="BP97" s="218"/>
    </row>
    <row r="98" spans="1:70" ht="17.25" customHeight="1">
      <c r="A98" s="296">
        <v>-1</v>
      </c>
      <c r="B98" s="297">
        <f>O4-1</f>
        <v>-1</v>
      </c>
      <c r="C98" s="298">
        <f>O4-1</f>
        <v>-1</v>
      </c>
      <c r="D98" s="242"/>
      <c r="E98" s="46"/>
      <c r="F98" s="47"/>
      <c r="G98" s="48"/>
      <c r="H98" s="46"/>
      <c r="I98" s="47"/>
      <c r="J98" s="48"/>
      <c r="K98" s="46"/>
      <c r="L98" s="47"/>
      <c r="M98" s="48"/>
      <c r="N98" s="46"/>
      <c r="O98" s="47"/>
      <c r="P98" s="48"/>
      <c r="Q98" s="46"/>
      <c r="R98" s="47"/>
      <c r="S98" s="94"/>
      <c r="T98" s="92" t="str">
        <f>IF(BM98=0,"M",IF(D98="p1",AK98,IF(D98="p2",AL98,IF(D98="A",0,((E98*F98)*G98/0.6)+((H98*I98)*J98/0.6)+((K98*L98)*M98/0.6)+((N98*O98)*P98/0.6)+((Q98*R98)*S98/0.6)))))</f>
        <v>M</v>
      </c>
      <c r="U98" s="264" t="str">
        <f>IF(T98=Calculator!T98,"VALID","ERROR")</f>
        <v>VALID</v>
      </c>
      <c r="V98" s="127"/>
      <c r="W98" s="305">
        <f>IF(U98="VALID",0,IF(U98="ERROR",1,0))</f>
        <v>0</v>
      </c>
      <c r="X98" s="209"/>
      <c r="Y98" s="209"/>
      <c r="Z98" s="209"/>
      <c r="AA98" s="209"/>
      <c r="AB98" s="257"/>
      <c r="AC98" s="261"/>
      <c r="AD98" s="234"/>
      <c r="AE98" s="234"/>
      <c r="AF98" s="234"/>
      <c r="AG98" s="234"/>
      <c r="AH98" s="234"/>
      <c r="AK98" s="212" t="b">
        <f t="shared" si="14"/>
        <v>0</v>
      </c>
      <c r="AL98" s="212" t="b">
        <f t="shared" si="3"/>
        <v>0</v>
      </c>
      <c r="AM98" s="212" t="str">
        <f>IF(D98="p1",AP98,"no")</f>
        <v>no</v>
      </c>
      <c r="AN98" s="212" t="str">
        <f>IF(D98="p2",AP98,"no")</f>
        <v>no</v>
      </c>
      <c r="AO98" s="213"/>
      <c r="AP98" s="212" t="e">
        <f>WEEKDAY(C98)</f>
        <v>#NUM!</v>
      </c>
      <c r="AQ98" s="292" t="str">
        <f t="shared" si="17"/>
        <v>M</v>
      </c>
      <c r="AR98" s="292" t="str">
        <f t="shared" si="17"/>
        <v>M</v>
      </c>
      <c r="AS98" s="292" t="str">
        <f t="shared" si="17"/>
        <v>M</v>
      </c>
      <c r="AT98" s="292" t="str">
        <f t="shared" si="17"/>
        <v>M</v>
      </c>
      <c r="AU98" s="292" t="str">
        <f t="shared" si="17"/>
        <v>M</v>
      </c>
      <c r="AV98" s="292" t="str">
        <f t="shared" si="17"/>
        <v>M</v>
      </c>
      <c r="AW98" s="292" t="str">
        <f t="shared" si="17"/>
        <v>M</v>
      </c>
      <c r="AX98" s="215"/>
      <c r="AY98" s="214">
        <f t="shared" si="18"/>
        <v>0</v>
      </c>
      <c r="AZ98" s="214">
        <f t="shared" si="18"/>
        <v>0</v>
      </c>
      <c r="BA98" s="214">
        <f t="shared" si="18"/>
        <v>0</v>
      </c>
      <c r="BB98" s="214">
        <f t="shared" si="18"/>
        <v>0</v>
      </c>
      <c r="BC98" s="214">
        <f t="shared" si="18"/>
        <v>0</v>
      </c>
      <c r="BD98" s="214">
        <f t="shared" si="18"/>
        <v>0</v>
      </c>
      <c r="BE98" s="214">
        <f t="shared" si="18"/>
        <v>0</v>
      </c>
      <c r="BH98" s="217" t="str">
        <f>IF(OR(E98="",F98="",G98=""),"M",1)</f>
        <v>M</v>
      </c>
      <c r="BI98" s="217" t="str">
        <f>IF(OR(H98="",I98="",J98=""),"M",1)</f>
        <v>M</v>
      </c>
      <c r="BJ98" s="217" t="str">
        <f>IF(OR(K98="",L98="",M98=""),"M",1)</f>
        <v>M</v>
      </c>
      <c r="BK98" s="217" t="str">
        <f>IF(OR(N98="",O98="",P98=""),"M",1)</f>
        <v>M</v>
      </c>
      <c r="BL98" s="217" t="str">
        <f>IF(OR(Q98="",R98="",S98=""),"M",1)</f>
        <v>M</v>
      </c>
      <c r="BM98" s="217">
        <f>IF(AND(BH98="M",BI98="M",BJ98="M",BK98="M",BL98="M",D98=""),0,1)</f>
        <v>0</v>
      </c>
      <c r="BN98" s="216"/>
      <c r="BO98" s="216"/>
      <c r="BP98" s="218"/>
    </row>
    <row r="99" spans="1:70" ht="17.25" customHeight="1">
      <c r="A99" s="299" t="s">
        <v>65</v>
      </c>
      <c r="B99" s="300">
        <f>O4</f>
        <v>0</v>
      </c>
      <c r="C99" s="301">
        <f>O4</f>
        <v>0</v>
      </c>
      <c r="D99" s="72"/>
      <c r="E99" s="73"/>
      <c r="F99" s="73"/>
      <c r="G99" s="73"/>
      <c r="H99" s="73"/>
      <c r="I99" s="73"/>
      <c r="J99" s="73"/>
      <c r="K99" s="73"/>
      <c r="L99" s="73"/>
      <c r="M99" s="73"/>
      <c r="N99" s="73"/>
      <c r="O99" s="73"/>
      <c r="P99" s="73"/>
      <c r="Q99" s="73"/>
      <c r="R99" s="73"/>
      <c r="S99" s="73"/>
      <c r="T99" s="167"/>
      <c r="U99" s="128"/>
      <c r="V99" s="127"/>
      <c r="W99" s="219"/>
      <c r="X99" s="219"/>
      <c r="Y99" s="223"/>
      <c r="Z99" s="223"/>
      <c r="AA99" s="223"/>
      <c r="AB99" s="244"/>
      <c r="AC99" s="245"/>
      <c r="AD99" s="246"/>
      <c r="AE99" s="234"/>
      <c r="AF99" s="234"/>
      <c r="AG99" s="243"/>
      <c r="AH99" s="234"/>
      <c r="AK99" s="224"/>
      <c r="AL99" s="224"/>
      <c r="AM99" s="224"/>
      <c r="AN99" s="224"/>
      <c r="AO99" s="225"/>
      <c r="AP99" s="224"/>
      <c r="AQ99" s="226"/>
      <c r="AR99" s="226"/>
      <c r="AS99" s="226"/>
      <c r="AT99" s="226"/>
      <c r="AU99" s="226"/>
      <c r="AV99" s="226"/>
      <c r="AW99" s="226"/>
      <c r="AX99" s="227"/>
      <c r="AY99" s="226"/>
      <c r="AZ99" s="226"/>
      <c r="BA99" s="226"/>
      <c r="BB99" s="226"/>
      <c r="BC99" s="226"/>
      <c r="BD99" s="226"/>
      <c r="BE99" s="226"/>
      <c r="BP99" s="228"/>
    </row>
    <row r="100" spans="1:70" ht="17.25" customHeight="1" thickBot="1">
      <c r="A100" s="130"/>
      <c r="B100" s="131"/>
      <c r="C100" s="132"/>
      <c r="D100" s="133"/>
      <c r="E100" s="134"/>
      <c r="F100" s="135"/>
      <c r="G100" s="133"/>
      <c r="H100" s="136"/>
      <c r="I100" s="137"/>
      <c r="J100" s="138"/>
      <c r="K100" s="136"/>
      <c r="L100" s="137"/>
      <c r="M100" s="138"/>
      <c r="N100" s="136"/>
      <c r="O100" s="137"/>
      <c r="P100" s="138"/>
      <c r="Q100" s="136"/>
      <c r="R100" s="137"/>
      <c r="S100" s="139"/>
      <c r="T100" s="168"/>
      <c r="U100" s="140"/>
      <c r="V100" s="127"/>
      <c r="W100" s="219"/>
      <c r="X100" s="219"/>
      <c r="Y100" s="223"/>
      <c r="Z100" s="223"/>
      <c r="AA100" s="223"/>
      <c r="AB100" s="244"/>
      <c r="AC100" s="245"/>
      <c r="AD100" s="234"/>
      <c r="AE100" s="234"/>
      <c r="AF100" s="234"/>
      <c r="AG100" s="229" t="s">
        <v>66</v>
      </c>
      <c r="AH100" s="230"/>
      <c r="AK100" s="221"/>
      <c r="AL100" s="221"/>
      <c r="AM100" s="221"/>
      <c r="AN100" s="221"/>
      <c r="AO100" s="221"/>
      <c r="AP100" s="221"/>
      <c r="AQ100" s="178"/>
      <c r="AX100" s="177"/>
      <c r="AY100" s="178"/>
      <c r="AZ100" s="178"/>
      <c r="BA100" s="178"/>
      <c r="BB100" s="178"/>
      <c r="BC100" s="178"/>
      <c r="BD100" s="178"/>
      <c r="BE100" s="178"/>
      <c r="BP100" s="228"/>
    </row>
    <row r="101" spans="1:70" ht="17.25" customHeight="1">
      <c r="A101" s="313"/>
      <c r="B101" s="313"/>
      <c r="C101" s="313"/>
      <c r="D101" s="313"/>
      <c r="E101" s="313"/>
      <c r="F101" s="313"/>
      <c r="G101" s="313"/>
      <c r="H101" s="313"/>
      <c r="I101" s="313"/>
      <c r="J101" s="313"/>
      <c r="S101" s="127"/>
      <c r="T101" s="30"/>
      <c r="U101" s="59"/>
      <c r="V101" s="127"/>
      <c r="W101" s="219"/>
      <c r="X101" s="219"/>
      <c r="Y101" s="223"/>
      <c r="Z101" s="223"/>
      <c r="AA101" s="223"/>
      <c r="AB101" s="244"/>
      <c r="AC101" s="245"/>
      <c r="AD101" s="245"/>
      <c r="AE101" s="245"/>
      <c r="AF101" s="231"/>
      <c r="AG101" s="232" t="s">
        <v>67</v>
      </c>
      <c r="AH101" s="233" t="s">
        <v>68</v>
      </c>
      <c r="AM101" s="221"/>
      <c r="AN101" s="221"/>
      <c r="AO101" s="221"/>
      <c r="AP101" s="221"/>
      <c r="AQ101" s="221"/>
      <c r="AR101" s="221"/>
      <c r="AY101" s="178"/>
      <c r="BA101" s="178"/>
      <c r="BB101" s="178"/>
      <c r="BC101" s="178"/>
      <c r="BD101" s="178"/>
      <c r="BE101" s="178"/>
      <c r="BF101" s="178"/>
      <c r="BG101" s="178"/>
      <c r="BR101" s="228"/>
    </row>
    <row r="102" spans="1:70" s="110" customFormat="1" ht="17.25" customHeight="1">
      <c r="A102" s="111"/>
      <c r="B102" s="248"/>
      <c r="C102" s="112"/>
      <c r="D102" s="113"/>
      <c r="E102" s="239"/>
      <c r="F102" s="239"/>
      <c r="G102" s="239"/>
      <c r="H102" s="113"/>
      <c r="I102" s="113"/>
      <c r="J102" s="113"/>
      <c r="K102" s="113"/>
      <c r="L102" s="113"/>
      <c r="M102" s="239"/>
      <c r="N102" s="239"/>
      <c r="O102" s="239"/>
      <c r="P102" s="239"/>
      <c r="Q102" s="239"/>
      <c r="R102" s="239"/>
      <c r="S102" s="239"/>
      <c r="T102" s="169"/>
      <c r="U102" s="113"/>
      <c r="V102" s="169"/>
      <c r="W102" s="169"/>
      <c r="X102" s="169"/>
      <c r="Y102" s="169"/>
      <c r="Z102" s="169"/>
      <c r="AA102" s="169"/>
      <c r="AB102" s="169"/>
      <c r="AC102" s="169"/>
      <c r="AD102" s="169"/>
      <c r="AE102" s="169"/>
      <c r="AF102" s="169"/>
      <c r="AG102" s="169"/>
      <c r="AH102" s="169"/>
      <c r="AS102" s="114"/>
      <c r="AT102" s="114"/>
      <c r="AU102" s="114"/>
      <c r="AV102" s="114"/>
      <c r="AW102" s="114"/>
      <c r="AX102" s="114"/>
      <c r="AY102" s="114"/>
    </row>
    <row r="103" spans="1:70" s="110" customFormat="1" ht="17.25" customHeight="1">
      <c r="A103" s="111"/>
      <c r="B103" s="248"/>
      <c r="C103" s="112"/>
      <c r="D103" s="113"/>
      <c r="E103" s="239"/>
      <c r="F103" s="239"/>
      <c r="G103" s="239"/>
      <c r="H103" s="113"/>
      <c r="I103" s="113"/>
      <c r="J103" s="113"/>
      <c r="K103" s="113"/>
      <c r="L103" s="113"/>
      <c r="M103" s="239"/>
      <c r="N103" s="239"/>
      <c r="O103" s="239"/>
      <c r="P103" s="239"/>
      <c r="Q103" s="239"/>
      <c r="R103" s="239"/>
      <c r="S103" s="239"/>
      <c r="T103" s="169"/>
      <c r="U103" s="113"/>
      <c r="V103" s="169"/>
      <c r="W103" s="169"/>
      <c r="X103" s="169"/>
      <c r="Y103" s="169"/>
      <c r="Z103" s="169"/>
      <c r="AA103" s="169"/>
      <c r="AB103" s="169"/>
      <c r="AC103" s="169"/>
      <c r="AD103" s="169"/>
      <c r="AE103" s="169"/>
      <c r="AF103" s="169"/>
      <c r="AG103" s="169"/>
      <c r="AH103" s="169"/>
      <c r="AS103" s="114"/>
      <c r="AT103" s="114"/>
      <c r="AU103" s="114"/>
      <c r="AV103" s="114"/>
      <c r="AW103" s="114"/>
      <c r="AX103" s="114"/>
      <c r="AY103" s="114"/>
    </row>
    <row r="104" spans="1:70" s="110" customFormat="1" ht="17.25" customHeight="1">
      <c r="A104" s="111"/>
      <c r="B104" s="248"/>
      <c r="C104" s="112"/>
      <c r="D104" s="113"/>
      <c r="E104" s="239"/>
      <c r="F104" s="239"/>
      <c r="G104" s="239"/>
      <c r="H104" s="113"/>
      <c r="I104" s="113"/>
      <c r="J104" s="113"/>
      <c r="K104" s="113"/>
      <c r="L104" s="113"/>
      <c r="M104" s="239"/>
      <c r="N104" s="239"/>
      <c r="O104" s="239"/>
      <c r="P104" s="239"/>
      <c r="Q104" s="239"/>
      <c r="R104" s="239"/>
      <c r="S104" s="239"/>
      <c r="T104" s="169">
        <f>SUM(T9:T98)</f>
        <v>0</v>
      </c>
      <c r="U104" s="113"/>
      <c r="V104" s="169"/>
      <c r="W104" s="169">
        <f>SUM(W9:W98)</f>
        <v>4</v>
      </c>
      <c r="X104" s="304" t="s">
        <v>96</v>
      </c>
      <c r="Y104" s="169"/>
      <c r="Z104" s="169"/>
      <c r="AA104" s="169"/>
      <c r="AB104" s="169"/>
      <c r="AC104" s="169"/>
      <c r="AD104" s="169"/>
      <c r="AE104" s="169"/>
      <c r="AF104" s="169"/>
      <c r="AG104" s="169"/>
      <c r="AH104" s="169"/>
      <c r="AS104" s="114"/>
      <c r="AT104" s="114"/>
      <c r="AU104" s="114"/>
      <c r="AV104" s="114"/>
      <c r="AW104" s="114"/>
      <c r="AX104" s="114"/>
      <c r="AY104" s="114"/>
    </row>
    <row r="105" spans="1:70" s="110" customFormat="1" ht="17.25" customHeight="1">
      <c r="A105" s="111"/>
      <c r="B105" s="248"/>
      <c r="C105" s="249"/>
      <c r="D105" s="113"/>
      <c r="E105" s="239"/>
      <c r="F105" s="239"/>
      <c r="G105" s="239"/>
      <c r="H105" s="113"/>
      <c r="I105" s="113"/>
      <c r="J105" s="113"/>
      <c r="K105" s="113"/>
      <c r="L105" s="113"/>
      <c r="M105" s="239"/>
      <c r="N105" s="239"/>
      <c r="O105" s="239"/>
      <c r="P105" s="239"/>
      <c r="Q105" s="239"/>
      <c r="R105" s="239"/>
      <c r="S105" s="239"/>
      <c r="T105" s="169"/>
      <c r="U105" s="113"/>
      <c r="V105" s="169"/>
      <c r="W105" s="169"/>
      <c r="X105" s="169"/>
      <c r="Y105" s="169"/>
      <c r="Z105" s="169"/>
      <c r="AA105" s="169"/>
      <c r="AB105" s="169"/>
      <c r="AC105" s="169"/>
      <c r="AD105" s="169"/>
      <c r="AE105" s="169"/>
      <c r="AF105" s="169"/>
      <c r="AG105" s="169"/>
      <c r="AH105" s="169"/>
      <c r="AS105" s="114"/>
      <c r="AT105" s="114"/>
      <c r="AU105" s="114"/>
      <c r="AV105" s="114"/>
      <c r="AW105" s="114"/>
      <c r="AX105" s="114"/>
      <c r="AY105" s="114"/>
    </row>
    <row r="106" spans="1:70" s="110" customFormat="1" ht="17.25" customHeight="1">
      <c r="A106" s="111"/>
      <c r="B106" s="248"/>
      <c r="C106" s="112"/>
      <c r="D106" s="113"/>
      <c r="E106" s="239"/>
      <c r="F106" s="239"/>
      <c r="G106" s="239"/>
      <c r="H106" s="113"/>
      <c r="I106" s="113"/>
      <c r="J106" s="113"/>
      <c r="K106" s="113"/>
      <c r="L106" s="113"/>
      <c r="M106" s="239"/>
      <c r="N106" s="239"/>
      <c r="O106" s="239"/>
      <c r="P106" s="239"/>
      <c r="Q106" s="239"/>
      <c r="R106" s="239"/>
      <c r="S106" s="239"/>
      <c r="T106" s="169"/>
      <c r="U106" s="113"/>
      <c r="V106" s="169"/>
      <c r="W106" s="169" t="str">
        <f>IF(W104=1,"is","are")</f>
        <v>are</v>
      </c>
      <c r="X106" s="169"/>
      <c r="Y106" s="169"/>
      <c r="Z106" s="169"/>
      <c r="AA106" s="169"/>
      <c r="AB106" s="169"/>
      <c r="AC106" s="169"/>
      <c r="AD106" s="169"/>
      <c r="AE106" s="169"/>
      <c r="AF106" s="169"/>
      <c r="AG106" s="169"/>
      <c r="AH106" s="169"/>
      <c r="AS106" s="114"/>
      <c r="AT106" s="114"/>
      <c r="AU106" s="114"/>
      <c r="AV106" s="114"/>
      <c r="AW106" s="114"/>
      <c r="AX106" s="114"/>
      <c r="AY106" s="114"/>
    </row>
    <row r="107" spans="1:70" s="110" customFormat="1" ht="17.25" customHeight="1">
      <c r="A107" s="111"/>
      <c r="B107" s="248"/>
      <c r="C107" s="112"/>
      <c r="D107" s="113"/>
      <c r="E107" s="239"/>
      <c r="F107" s="239"/>
      <c r="G107" s="239"/>
      <c r="H107" s="113"/>
      <c r="I107" s="113"/>
      <c r="J107" s="113"/>
      <c r="K107" s="113"/>
      <c r="L107" s="113"/>
      <c r="M107" s="239"/>
      <c r="N107" s="239"/>
      <c r="O107" s="239"/>
      <c r="P107" s="239"/>
      <c r="Q107" s="239"/>
      <c r="R107" s="239"/>
      <c r="S107" s="239"/>
      <c r="T107" s="169"/>
      <c r="U107" s="113"/>
      <c r="V107" s="169"/>
      <c r="W107" s="169" t="str">
        <f>IF(W104=1,"day","days")</f>
        <v>days</v>
      </c>
      <c r="X107" s="169"/>
      <c r="Y107" s="169"/>
      <c r="Z107" s="169"/>
      <c r="AA107" s="169"/>
      <c r="AB107" s="169"/>
      <c r="AC107" s="169"/>
      <c r="AD107" s="169"/>
      <c r="AE107" s="169"/>
      <c r="AF107" s="169"/>
      <c r="AG107" s="169"/>
      <c r="AH107" s="169"/>
      <c r="AS107" s="114"/>
      <c r="AT107" s="114"/>
      <c r="AU107" s="114"/>
      <c r="AV107" s="114"/>
      <c r="AW107" s="114"/>
      <c r="AX107" s="114"/>
      <c r="AY107" s="114"/>
    </row>
    <row r="108" spans="1:70" s="110" customFormat="1" ht="17.25" customHeight="1">
      <c r="A108" s="111"/>
      <c r="B108" s="248"/>
      <c r="C108" s="112"/>
      <c r="D108" s="113"/>
      <c r="E108" s="239"/>
      <c r="F108" s="239"/>
      <c r="G108" s="239"/>
      <c r="H108" s="113"/>
      <c r="I108" s="113"/>
      <c r="J108" s="113"/>
      <c r="K108" s="113"/>
      <c r="L108" s="113"/>
      <c r="M108" s="239"/>
      <c r="N108" s="239"/>
      <c r="O108" s="239"/>
      <c r="P108" s="239"/>
      <c r="Q108" s="239"/>
      <c r="R108" s="239"/>
      <c r="S108" s="239"/>
      <c r="T108" s="169"/>
      <c r="U108" s="113"/>
      <c r="V108" s="169"/>
      <c r="W108" s="169"/>
      <c r="X108" s="169"/>
      <c r="Y108" s="169"/>
      <c r="Z108" s="169"/>
      <c r="AA108" s="169"/>
      <c r="AB108" s="169"/>
      <c r="AC108" s="169"/>
      <c r="AD108" s="169"/>
      <c r="AE108" s="169"/>
      <c r="AF108" s="169"/>
      <c r="AG108" s="169"/>
      <c r="AH108" s="169"/>
      <c r="AS108" s="114"/>
      <c r="AT108" s="114"/>
      <c r="AU108" s="114"/>
      <c r="AV108" s="114"/>
      <c r="AW108" s="114"/>
      <c r="AX108" s="114"/>
      <c r="AY108" s="114"/>
    </row>
    <row r="109" spans="1:70" s="110" customFormat="1" ht="17.25" customHeight="1">
      <c r="A109" s="111"/>
      <c r="B109" s="248"/>
      <c r="C109" s="112"/>
      <c r="D109" s="113"/>
      <c r="E109" s="239"/>
      <c r="F109" s="239"/>
      <c r="G109" s="239"/>
      <c r="H109" s="113"/>
      <c r="I109" s="113"/>
      <c r="J109" s="113"/>
      <c r="K109" s="113"/>
      <c r="L109" s="113"/>
      <c r="M109" s="239"/>
      <c r="N109" s="239"/>
      <c r="O109" s="239"/>
      <c r="P109" s="239"/>
      <c r="Q109" s="239"/>
      <c r="R109" s="239"/>
      <c r="S109" s="239"/>
      <c r="T109" s="169"/>
      <c r="U109" s="113"/>
      <c r="V109" s="169"/>
      <c r="W109" s="169"/>
      <c r="X109" s="169"/>
      <c r="Y109" s="169"/>
      <c r="Z109" s="169"/>
      <c r="AA109" s="169"/>
      <c r="AB109" s="169"/>
      <c r="AC109" s="169"/>
      <c r="AD109" s="169"/>
      <c r="AE109" s="169"/>
      <c r="AF109" s="169"/>
      <c r="AG109" s="169"/>
      <c r="AH109" s="169"/>
      <c r="AS109" s="114"/>
      <c r="AT109" s="114"/>
      <c r="AU109" s="114"/>
      <c r="AV109" s="114"/>
      <c r="AW109" s="114"/>
      <c r="AX109" s="114"/>
      <c r="AY109" s="114"/>
    </row>
    <row r="110" spans="1:70" s="110" customFormat="1" ht="17.25" customHeight="1">
      <c r="A110" s="111"/>
      <c r="B110" s="248"/>
      <c r="C110" s="112"/>
      <c r="D110" s="113"/>
      <c r="E110" s="239"/>
      <c r="F110" s="239"/>
      <c r="G110" s="239"/>
      <c r="H110" s="113"/>
      <c r="I110" s="113"/>
      <c r="J110" s="113"/>
      <c r="K110" s="113"/>
      <c r="L110" s="113"/>
      <c r="M110" s="239"/>
      <c r="N110" s="239"/>
      <c r="O110" s="239"/>
      <c r="P110" s="239"/>
      <c r="Q110" s="239"/>
      <c r="R110" s="239"/>
      <c r="S110" s="239"/>
      <c r="T110" s="169"/>
      <c r="U110" s="113"/>
      <c r="V110" s="169"/>
      <c r="W110" s="169"/>
      <c r="X110" s="169"/>
      <c r="Y110" s="169"/>
      <c r="Z110" s="169"/>
      <c r="AA110" s="169"/>
      <c r="AB110" s="169"/>
      <c r="AC110" s="169"/>
      <c r="AD110" s="169"/>
      <c r="AE110" s="169"/>
      <c r="AF110" s="169"/>
      <c r="AG110" s="169"/>
      <c r="AH110" s="169"/>
      <c r="AS110" s="114"/>
      <c r="AT110" s="114"/>
      <c r="AU110" s="114"/>
      <c r="AV110" s="114"/>
      <c r="AW110" s="114"/>
      <c r="AX110" s="114"/>
      <c r="AY110" s="114"/>
    </row>
    <row r="111" spans="1:70" s="110" customFormat="1" ht="17.25" customHeight="1">
      <c r="A111" s="111"/>
      <c r="B111" s="248"/>
      <c r="C111" s="112"/>
      <c r="D111" s="113"/>
      <c r="E111" s="239"/>
      <c r="F111" s="239"/>
      <c r="G111" s="239"/>
      <c r="H111" s="113"/>
      <c r="I111" s="113"/>
      <c r="J111" s="113"/>
      <c r="K111" s="113"/>
      <c r="L111" s="113"/>
      <c r="M111" s="239"/>
      <c r="N111" s="239"/>
      <c r="O111" s="239"/>
      <c r="P111" s="239"/>
      <c r="Q111" s="239"/>
      <c r="R111" s="239"/>
      <c r="S111" s="239"/>
      <c r="T111" s="169"/>
      <c r="U111" s="113"/>
      <c r="V111" s="169"/>
      <c r="W111" s="169"/>
      <c r="X111" s="169"/>
      <c r="Y111" s="169"/>
      <c r="Z111" s="169"/>
      <c r="AA111" s="169"/>
      <c r="AB111" s="169"/>
      <c r="AC111" s="169"/>
      <c r="AD111" s="169"/>
      <c r="AE111" s="169"/>
      <c r="AF111" s="169"/>
      <c r="AG111" s="169"/>
      <c r="AH111" s="169"/>
      <c r="AS111" s="114"/>
      <c r="AT111" s="114"/>
      <c r="AU111" s="114"/>
      <c r="AV111" s="114"/>
      <c r="AW111" s="114"/>
      <c r="AX111" s="114"/>
      <c r="AY111" s="114"/>
    </row>
    <row r="112" spans="1:70" s="110" customFormat="1" ht="17.25" customHeight="1">
      <c r="A112" s="111"/>
      <c r="B112" s="248"/>
      <c r="C112" s="112"/>
      <c r="D112" s="113"/>
      <c r="E112" s="239"/>
      <c r="F112" s="239"/>
      <c r="G112" s="239"/>
      <c r="H112" s="113"/>
      <c r="I112" s="113"/>
      <c r="J112" s="113"/>
      <c r="K112" s="113"/>
      <c r="L112" s="113"/>
      <c r="M112" s="239"/>
      <c r="N112" s="239"/>
      <c r="O112" s="239"/>
      <c r="P112" s="239"/>
      <c r="Q112" s="239"/>
      <c r="R112" s="239"/>
      <c r="S112" s="239"/>
      <c r="T112" s="169"/>
      <c r="U112" s="113"/>
      <c r="V112" s="169"/>
      <c r="W112" s="169"/>
      <c r="X112" s="169"/>
      <c r="Y112" s="169"/>
      <c r="Z112" s="169"/>
      <c r="AA112" s="169"/>
      <c r="AB112" s="169"/>
      <c r="AC112" s="169"/>
      <c r="AD112" s="169"/>
      <c r="AE112" s="169"/>
      <c r="AF112" s="169"/>
      <c r="AG112" s="169"/>
      <c r="AH112" s="169"/>
      <c r="AS112" s="114"/>
      <c r="AT112" s="114"/>
      <c r="AU112" s="114"/>
      <c r="AV112" s="114"/>
      <c r="AW112" s="114"/>
      <c r="AX112" s="114"/>
      <c r="AY112" s="114"/>
    </row>
    <row r="113" spans="1:51" s="110" customFormat="1" ht="17.25" customHeight="1">
      <c r="A113" s="111"/>
      <c r="B113" s="248"/>
      <c r="C113" s="112"/>
      <c r="D113" s="113"/>
      <c r="E113" s="239"/>
      <c r="F113" s="239"/>
      <c r="G113" s="239"/>
      <c r="H113" s="113"/>
      <c r="I113" s="113"/>
      <c r="J113" s="113"/>
      <c r="K113" s="113"/>
      <c r="L113" s="113"/>
      <c r="M113" s="239"/>
      <c r="N113" s="239"/>
      <c r="O113" s="239"/>
      <c r="P113" s="239"/>
      <c r="Q113" s="239"/>
      <c r="R113" s="239"/>
      <c r="S113" s="239"/>
      <c r="T113" s="169"/>
      <c r="U113" s="113"/>
      <c r="V113" s="169"/>
      <c r="W113" s="169"/>
      <c r="X113" s="169"/>
      <c r="Y113" s="169"/>
      <c r="Z113" s="169"/>
      <c r="AA113" s="169"/>
      <c r="AB113" s="169"/>
      <c r="AC113" s="169"/>
      <c r="AD113" s="169"/>
      <c r="AE113" s="169"/>
      <c r="AF113" s="169"/>
      <c r="AG113" s="169"/>
      <c r="AH113" s="169"/>
      <c r="AS113" s="114"/>
      <c r="AT113" s="114"/>
      <c r="AU113" s="114"/>
      <c r="AV113" s="114"/>
      <c r="AW113" s="114"/>
      <c r="AX113" s="114"/>
      <c r="AY113" s="114"/>
    </row>
    <row r="114" spans="1:51" s="110" customFormat="1" ht="17.25" customHeight="1">
      <c r="A114" s="111"/>
      <c r="B114" s="248"/>
      <c r="C114" s="112"/>
      <c r="D114" s="113"/>
      <c r="E114" s="239"/>
      <c r="F114" s="239"/>
      <c r="G114" s="239"/>
      <c r="H114" s="113"/>
      <c r="I114" s="113"/>
      <c r="J114" s="113"/>
      <c r="K114" s="113"/>
      <c r="L114" s="113"/>
      <c r="M114" s="239"/>
      <c r="N114" s="239"/>
      <c r="O114" s="239"/>
      <c r="P114" s="239"/>
      <c r="Q114" s="239"/>
      <c r="R114" s="239"/>
      <c r="S114" s="239"/>
      <c r="T114" s="169"/>
      <c r="U114" s="113"/>
      <c r="V114" s="169"/>
      <c r="W114" s="169"/>
      <c r="X114" s="169"/>
      <c r="Y114" s="169"/>
      <c r="Z114" s="169"/>
      <c r="AA114" s="169"/>
      <c r="AB114" s="169"/>
      <c r="AC114" s="169"/>
      <c r="AD114" s="169"/>
      <c r="AE114" s="169"/>
      <c r="AF114" s="169"/>
      <c r="AG114" s="169"/>
      <c r="AH114" s="169"/>
      <c r="AS114" s="114"/>
      <c r="AT114" s="114"/>
      <c r="AU114" s="114"/>
      <c r="AV114" s="114"/>
      <c r="AW114" s="114"/>
      <c r="AX114" s="114"/>
      <c r="AY114" s="114"/>
    </row>
    <row r="115" spans="1:51" s="110" customFormat="1" ht="17.25" customHeight="1">
      <c r="A115" s="111"/>
      <c r="B115" s="248"/>
      <c r="C115" s="112"/>
      <c r="D115" s="113"/>
      <c r="E115" s="239"/>
      <c r="F115" s="239"/>
      <c r="G115" s="239"/>
      <c r="H115" s="113"/>
      <c r="I115" s="113"/>
      <c r="J115" s="113"/>
      <c r="K115" s="113"/>
      <c r="L115" s="113"/>
      <c r="M115" s="239"/>
      <c r="N115" s="239"/>
      <c r="O115" s="239"/>
      <c r="P115" s="239"/>
      <c r="Q115" s="239"/>
      <c r="R115" s="239"/>
      <c r="S115" s="239"/>
      <c r="T115" s="169"/>
      <c r="U115" s="113"/>
      <c r="V115" s="169"/>
      <c r="W115" s="169"/>
      <c r="X115" s="169"/>
      <c r="Y115" s="169"/>
      <c r="Z115" s="169"/>
      <c r="AA115" s="169"/>
      <c r="AB115" s="169"/>
      <c r="AC115" s="169"/>
      <c r="AD115" s="169"/>
      <c r="AE115" s="169"/>
      <c r="AF115" s="169"/>
      <c r="AG115" s="169"/>
      <c r="AH115" s="169"/>
      <c r="AS115" s="114"/>
      <c r="AT115" s="114"/>
      <c r="AU115" s="114"/>
      <c r="AV115" s="114"/>
      <c r="AW115" s="114"/>
      <c r="AX115" s="114"/>
      <c r="AY115" s="114"/>
    </row>
    <row r="116" spans="1:51" s="110" customFormat="1" ht="17.25" customHeight="1">
      <c r="A116" s="111"/>
      <c r="B116" s="248"/>
      <c r="C116" s="112"/>
      <c r="D116" s="113"/>
      <c r="E116" s="239"/>
      <c r="F116" s="239"/>
      <c r="G116" s="239"/>
      <c r="H116" s="113"/>
      <c r="I116" s="113"/>
      <c r="J116" s="113"/>
      <c r="K116" s="113"/>
      <c r="L116" s="113"/>
      <c r="M116" s="239"/>
      <c r="N116" s="239"/>
      <c r="O116" s="239"/>
      <c r="P116" s="239"/>
      <c r="Q116" s="239"/>
      <c r="R116" s="239"/>
      <c r="S116" s="239"/>
      <c r="T116" s="169"/>
      <c r="U116" s="113"/>
      <c r="V116" s="169"/>
      <c r="W116" s="169"/>
      <c r="X116" s="169"/>
      <c r="Y116" s="169"/>
      <c r="Z116" s="169"/>
      <c r="AA116" s="169"/>
      <c r="AB116" s="169"/>
      <c r="AC116" s="169"/>
      <c r="AD116" s="169"/>
      <c r="AE116" s="169"/>
      <c r="AF116" s="169"/>
      <c r="AG116" s="169"/>
      <c r="AH116" s="169"/>
      <c r="AS116" s="114"/>
      <c r="AT116" s="114"/>
      <c r="AU116" s="114"/>
      <c r="AV116" s="114"/>
      <c r="AW116" s="114"/>
      <c r="AX116" s="114"/>
      <c r="AY116" s="114"/>
    </row>
    <row r="117" spans="1:51" s="110" customFormat="1" ht="17.25" customHeight="1">
      <c r="A117" s="111"/>
      <c r="B117" s="248"/>
      <c r="C117" s="112"/>
      <c r="D117" s="113"/>
      <c r="E117" s="239"/>
      <c r="F117" s="239"/>
      <c r="G117" s="239"/>
      <c r="H117" s="113"/>
      <c r="I117" s="113"/>
      <c r="J117" s="113"/>
      <c r="K117" s="113"/>
      <c r="L117" s="113"/>
      <c r="M117" s="239"/>
      <c r="N117" s="239"/>
      <c r="O117" s="239"/>
      <c r="P117" s="239"/>
      <c r="Q117" s="239"/>
      <c r="R117" s="239"/>
      <c r="S117" s="239"/>
      <c r="T117" s="169"/>
      <c r="U117" s="113"/>
      <c r="V117" s="169"/>
      <c r="W117" s="169"/>
      <c r="X117" s="169"/>
      <c r="Y117" s="169"/>
      <c r="Z117" s="169"/>
      <c r="AA117" s="169"/>
      <c r="AB117" s="169"/>
      <c r="AC117" s="169"/>
      <c r="AD117" s="169"/>
      <c r="AE117" s="169"/>
      <c r="AF117" s="169"/>
      <c r="AG117" s="169"/>
      <c r="AH117" s="169"/>
      <c r="AS117" s="114"/>
      <c r="AT117" s="114"/>
      <c r="AU117" s="114"/>
      <c r="AV117" s="114"/>
      <c r="AW117" s="114"/>
      <c r="AX117" s="114"/>
      <c r="AY117" s="114"/>
    </row>
    <row r="118" spans="1:51" s="110" customFormat="1" ht="17.25" customHeight="1">
      <c r="A118" s="111"/>
      <c r="B118" s="248"/>
      <c r="C118" s="112"/>
      <c r="D118" s="113"/>
      <c r="E118" s="239"/>
      <c r="F118" s="239"/>
      <c r="G118" s="239"/>
      <c r="H118" s="113"/>
      <c r="I118" s="113"/>
      <c r="J118" s="113"/>
      <c r="K118" s="113"/>
      <c r="L118" s="113"/>
      <c r="M118" s="239"/>
      <c r="N118" s="239"/>
      <c r="O118" s="239"/>
      <c r="P118" s="239"/>
      <c r="Q118" s="239"/>
      <c r="R118" s="239"/>
      <c r="S118" s="239"/>
      <c r="T118" s="169"/>
      <c r="U118" s="113"/>
      <c r="V118" s="169"/>
      <c r="W118" s="169"/>
      <c r="X118" s="169"/>
      <c r="Y118" s="169"/>
      <c r="Z118" s="169"/>
      <c r="AA118" s="169"/>
      <c r="AB118" s="169"/>
      <c r="AC118" s="169"/>
      <c r="AD118" s="169"/>
      <c r="AE118" s="169"/>
      <c r="AF118" s="169"/>
      <c r="AG118" s="169"/>
      <c r="AH118" s="169"/>
      <c r="AS118" s="114"/>
      <c r="AT118" s="114"/>
      <c r="AU118" s="114"/>
      <c r="AV118" s="114"/>
      <c r="AW118" s="114"/>
      <c r="AX118" s="114"/>
      <c r="AY118" s="114"/>
    </row>
    <row r="119" spans="1:51" s="110" customFormat="1" ht="17.25" customHeight="1">
      <c r="A119" s="111"/>
      <c r="B119" s="248"/>
      <c r="C119" s="112"/>
      <c r="D119" s="113"/>
      <c r="E119" s="239"/>
      <c r="F119" s="239"/>
      <c r="G119" s="239"/>
      <c r="H119" s="113"/>
      <c r="I119" s="113"/>
      <c r="J119" s="113"/>
      <c r="K119" s="113"/>
      <c r="L119" s="113"/>
      <c r="M119" s="239"/>
      <c r="N119" s="239"/>
      <c r="O119" s="239"/>
      <c r="P119" s="239"/>
      <c r="Q119" s="239"/>
      <c r="R119" s="239"/>
      <c r="S119" s="239"/>
      <c r="T119" s="169"/>
      <c r="U119" s="113"/>
      <c r="V119" s="169"/>
      <c r="W119" s="169"/>
      <c r="X119" s="169"/>
      <c r="Y119" s="169"/>
      <c r="Z119" s="169"/>
      <c r="AA119" s="169"/>
      <c r="AB119" s="169"/>
      <c r="AC119" s="169"/>
      <c r="AD119" s="169"/>
      <c r="AE119" s="169"/>
      <c r="AF119" s="169"/>
      <c r="AG119" s="169"/>
      <c r="AH119" s="169"/>
      <c r="AS119" s="114"/>
      <c r="AT119" s="114"/>
      <c r="AU119" s="114"/>
      <c r="AV119" s="114"/>
      <c r="AW119" s="114"/>
      <c r="AX119" s="114"/>
      <c r="AY119" s="114"/>
    </row>
    <row r="120" spans="1:51" s="110" customFormat="1" ht="17.25" customHeight="1">
      <c r="A120" s="111"/>
      <c r="B120" s="248"/>
      <c r="C120" s="112"/>
      <c r="D120" s="113"/>
      <c r="E120" s="239"/>
      <c r="F120" s="239"/>
      <c r="G120" s="239"/>
      <c r="H120" s="113"/>
      <c r="I120" s="113"/>
      <c r="J120" s="113"/>
      <c r="K120" s="113"/>
      <c r="L120" s="113"/>
      <c r="M120" s="239"/>
      <c r="N120" s="239"/>
      <c r="O120" s="239"/>
      <c r="P120" s="239"/>
      <c r="Q120" s="239"/>
      <c r="R120" s="239"/>
      <c r="S120" s="239"/>
      <c r="T120" s="169"/>
      <c r="U120" s="113"/>
      <c r="V120" s="169"/>
      <c r="W120" s="169"/>
      <c r="X120" s="169"/>
      <c r="Y120" s="169"/>
      <c r="Z120" s="169"/>
      <c r="AA120" s="169"/>
      <c r="AB120" s="169"/>
      <c r="AC120" s="169"/>
      <c r="AD120" s="169"/>
      <c r="AE120" s="169"/>
      <c r="AF120" s="169"/>
      <c r="AG120" s="169"/>
      <c r="AH120" s="169"/>
      <c r="AS120" s="114"/>
      <c r="AT120" s="114"/>
      <c r="AU120" s="114"/>
      <c r="AV120" s="114"/>
      <c r="AW120" s="114"/>
      <c r="AX120" s="114"/>
      <c r="AY120" s="114"/>
    </row>
    <row r="121" spans="1:51" s="110" customFormat="1" ht="17.25" customHeight="1">
      <c r="A121" s="111"/>
      <c r="B121" s="248"/>
      <c r="C121" s="112"/>
      <c r="D121" s="113"/>
      <c r="E121" s="239"/>
      <c r="F121" s="239"/>
      <c r="G121" s="239"/>
      <c r="H121" s="113"/>
      <c r="I121" s="113"/>
      <c r="J121" s="113"/>
      <c r="K121" s="113"/>
      <c r="L121" s="113"/>
      <c r="M121" s="239"/>
      <c r="N121" s="239"/>
      <c r="O121" s="239"/>
      <c r="P121" s="239"/>
      <c r="Q121" s="239"/>
      <c r="R121" s="239"/>
      <c r="S121" s="239"/>
      <c r="T121" s="169"/>
      <c r="U121" s="113"/>
      <c r="V121" s="169"/>
      <c r="W121" s="169"/>
      <c r="X121" s="169"/>
      <c r="Y121" s="169"/>
      <c r="Z121" s="169"/>
      <c r="AA121" s="169"/>
      <c r="AB121" s="169"/>
      <c r="AC121" s="169"/>
      <c r="AD121" s="169"/>
      <c r="AE121" s="169"/>
      <c r="AF121" s="169"/>
      <c r="AG121" s="169"/>
      <c r="AH121" s="169"/>
      <c r="AS121" s="114"/>
      <c r="AT121" s="114"/>
      <c r="AU121" s="114"/>
      <c r="AV121" s="114"/>
      <c r="AW121" s="114"/>
      <c r="AX121" s="114"/>
      <c r="AY121" s="114"/>
    </row>
    <row r="122" spans="1:51" s="110" customFormat="1" ht="17.25" customHeight="1">
      <c r="A122" s="111"/>
      <c r="B122" s="248"/>
      <c r="C122" s="112"/>
      <c r="D122" s="113"/>
      <c r="E122" s="239"/>
      <c r="F122" s="239"/>
      <c r="G122" s="239"/>
      <c r="H122" s="113"/>
      <c r="I122" s="113"/>
      <c r="J122" s="113"/>
      <c r="K122" s="113"/>
      <c r="L122" s="113"/>
      <c r="M122" s="239"/>
      <c r="N122" s="239"/>
      <c r="O122" s="239"/>
      <c r="P122" s="239"/>
      <c r="Q122" s="239"/>
      <c r="R122" s="239"/>
      <c r="S122" s="239"/>
      <c r="T122" s="169"/>
      <c r="U122" s="113"/>
      <c r="V122" s="169"/>
      <c r="W122" s="169"/>
      <c r="X122" s="169"/>
      <c r="Y122" s="169"/>
      <c r="Z122" s="169"/>
      <c r="AA122" s="169"/>
      <c r="AB122" s="169"/>
      <c r="AC122" s="169"/>
      <c r="AD122" s="169"/>
      <c r="AE122" s="169"/>
      <c r="AF122" s="169"/>
      <c r="AG122" s="169"/>
      <c r="AH122" s="169"/>
      <c r="AS122" s="114"/>
      <c r="AT122" s="114"/>
      <c r="AU122" s="114"/>
      <c r="AV122" s="114"/>
      <c r="AW122" s="114"/>
      <c r="AX122" s="114"/>
      <c r="AY122" s="114"/>
    </row>
    <row r="123" spans="1:51" s="110" customFormat="1" ht="17.25" customHeight="1">
      <c r="A123" s="111"/>
      <c r="B123" s="248"/>
      <c r="C123" s="112"/>
      <c r="D123" s="113"/>
      <c r="E123" s="239"/>
      <c r="F123" s="239"/>
      <c r="G123" s="239"/>
      <c r="H123" s="113"/>
      <c r="I123" s="113"/>
      <c r="J123" s="113"/>
      <c r="K123" s="113"/>
      <c r="L123" s="113"/>
      <c r="M123" s="239"/>
      <c r="N123" s="239"/>
      <c r="O123" s="239"/>
      <c r="P123" s="239"/>
      <c r="Q123" s="239"/>
      <c r="R123" s="239"/>
      <c r="S123" s="239"/>
      <c r="T123" s="169"/>
      <c r="U123" s="113"/>
      <c r="V123" s="169"/>
      <c r="W123" s="169"/>
      <c r="X123" s="169"/>
      <c r="Y123" s="169"/>
      <c r="Z123" s="169"/>
      <c r="AA123" s="169"/>
      <c r="AB123" s="169"/>
      <c r="AC123" s="169"/>
      <c r="AD123" s="169"/>
      <c r="AE123" s="169"/>
      <c r="AF123" s="169"/>
      <c r="AG123" s="169"/>
      <c r="AH123" s="169"/>
      <c r="AS123" s="114"/>
      <c r="AT123" s="114"/>
      <c r="AU123" s="114"/>
      <c r="AV123" s="114"/>
      <c r="AW123" s="114"/>
      <c r="AX123" s="114"/>
      <c r="AY123" s="114"/>
    </row>
    <row r="124" spans="1:51" s="110" customFormat="1" ht="17.25" customHeight="1">
      <c r="A124" s="111"/>
      <c r="B124" s="248"/>
      <c r="C124" s="112"/>
      <c r="D124" s="113"/>
      <c r="E124" s="239"/>
      <c r="F124" s="239"/>
      <c r="G124" s="239"/>
      <c r="H124" s="113"/>
      <c r="I124" s="113"/>
      <c r="J124" s="113"/>
      <c r="K124" s="113"/>
      <c r="L124" s="113"/>
      <c r="M124" s="239"/>
      <c r="N124" s="239"/>
      <c r="O124" s="239"/>
      <c r="P124" s="239"/>
      <c r="Q124" s="239"/>
      <c r="R124" s="239"/>
      <c r="S124" s="239"/>
      <c r="T124" s="169"/>
      <c r="U124" s="113"/>
      <c r="V124" s="169"/>
      <c r="W124" s="169"/>
      <c r="X124" s="169"/>
      <c r="Y124" s="169"/>
      <c r="Z124" s="169"/>
      <c r="AA124" s="169"/>
      <c r="AB124" s="169"/>
      <c r="AC124" s="169"/>
      <c r="AD124" s="169"/>
      <c r="AE124" s="169"/>
      <c r="AF124" s="169"/>
      <c r="AG124" s="169"/>
      <c r="AH124" s="169"/>
      <c r="AS124" s="114"/>
      <c r="AT124" s="114"/>
      <c r="AU124" s="114"/>
      <c r="AV124" s="114"/>
      <c r="AW124" s="114"/>
      <c r="AX124" s="114"/>
      <c r="AY124" s="114"/>
    </row>
    <row r="125" spans="1:51" s="110" customFormat="1" ht="17.25" customHeight="1">
      <c r="A125" s="111"/>
      <c r="B125" s="248"/>
      <c r="C125" s="112"/>
      <c r="D125" s="113"/>
      <c r="E125" s="239"/>
      <c r="F125" s="239"/>
      <c r="G125" s="239"/>
      <c r="H125" s="113"/>
      <c r="I125" s="113"/>
      <c r="J125" s="113"/>
      <c r="K125" s="113"/>
      <c r="L125" s="113"/>
      <c r="M125" s="239"/>
      <c r="N125" s="239"/>
      <c r="O125" s="239"/>
      <c r="P125" s="239"/>
      <c r="Q125" s="239"/>
      <c r="R125" s="239"/>
      <c r="S125" s="239"/>
      <c r="T125" s="169"/>
      <c r="U125" s="113"/>
      <c r="V125" s="169"/>
      <c r="W125" s="169"/>
      <c r="X125" s="169"/>
      <c r="Y125" s="169"/>
      <c r="Z125" s="169"/>
      <c r="AA125" s="169"/>
      <c r="AB125" s="169"/>
      <c r="AC125" s="169"/>
      <c r="AD125" s="169"/>
      <c r="AE125" s="169"/>
      <c r="AF125" s="169"/>
      <c r="AG125" s="169"/>
      <c r="AH125" s="169"/>
      <c r="AR125" s="114"/>
      <c r="AS125" s="114"/>
      <c r="AT125" s="114"/>
      <c r="AU125" s="114"/>
      <c r="AV125" s="114"/>
      <c r="AW125" s="114"/>
      <c r="AX125" s="114"/>
    </row>
    <row r="126" spans="1:51" s="110" customFormat="1" ht="17.25" customHeight="1">
      <c r="A126" s="111"/>
      <c r="B126" s="248"/>
      <c r="C126" s="112"/>
      <c r="D126" s="113"/>
      <c r="E126" s="239"/>
      <c r="F126" s="239"/>
      <c r="G126" s="239"/>
      <c r="H126" s="113"/>
      <c r="I126" s="113"/>
      <c r="J126" s="113"/>
      <c r="K126" s="113"/>
      <c r="L126" s="113"/>
      <c r="M126" s="239"/>
      <c r="N126" s="239"/>
      <c r="O126" s="239"/>
      <c r="P126" s="239"/>
      <c r="Q126" s="239"/>
      <c r="R126" s="239"/>
      <c r="S126" s="239"/>
      <c r="T126" s="169"/>
      <c r="U126" s="113"/>
      <c r="V126" s="169"/>
      <c r="W126" s="169"/>
      <c r="X126" s="169"/>
      <c r="Y126" s="169"/>
      <c r="Z126" s="169"/>
      <c r="AA126" s="169"/>
      <c r="AB126" s="169"/>
      <c r="AC126" s="169"/>
      <c r="AD126" s="169"/>
      <c r="AE126" s="169"/>
      <c r="AF126" s="169"/>
      <c r="AG126" s="169"/>
      <c r="AH126" s="169"/>
      <c r="AR126" s="114"/>
      <c r="AS126" s="114"/>
      <c r="AT126" s="114"/>
      <c r="AU126" s="114"/>
      <c r="AV126" s="114"/>
      <c r="AW126" s="114"/>
      <c r="AX126" s="114"/>
    </row>
    <row r="127" spans="1:51" s="110" customFormat="1" ht="17.25" customHeight="1">
      <c r="A127" s="111"/>
      <c r="B127" s="248"/>
      <c r="C127" s="112"/>
      <c r="D127" s="113"/>
      <c r="E127" s="239"/>
      <c r="F127" s="239"/>
      <c r="G127" s="239"/>
      <c r="H127" s="113"/>
      <c r="I127" s="113"/>
      <c r="J127" s="113"/>
      <c r="K127" s="113"/>
      <c r="L127" s="113"/>
      <c r="M127" s="239"/>
      <c r="N127" s="239"/>
      <c r="O127" s="239"/>
      <c r="P127" s="239"/>
      <c r="Q127" s="239"/>
      <c r="R127" s="239"/>
      <c r="S127" s="239"/>
      <c r="T127" s="169"/>
      <c r="U127" s="113"/>
      <c r="V127" s="169"/>
      <c r="W127" s="169"/>
      <c r="X127" s="169"/>
      <c r="Y127" s="169"/>
      <c r="Z127" s="169"/>
      <c r="AA127" s="169"/>
      <c r="AB127" s="169"/>
      <c r="AC127" s="169"/>
      <c r="AD127" s="169"/>
      <c r="AE127" s="169"/>
      <c r="AF127" s="169"/>
      <c r="AG127" s="169"/>
      <c r="AH127" s="169"/>
      <c r="AR127" s="114"/>
      <c r="AS127" s="114"/>
      <c r="AT127" s="114"/>
      <c r="AU127" s="114"/>
      <c r="AV127" s="114"/>
      <c r="AW127" s="114"/>
      <c r="AX127" s="114"/>
    </row>
    <row r="128" spans="1:51" s="110" customFormat="1" ht="17.25" customHeight="1">
      <c r="A128" s="111"/>
      <c r="B128" s="248"/>
      <c r="C128" s="112"/>
      <c r="D128" s="113"/>
      <c r="E128" s="239"/>
      <c r="F128" s="239"/>
      <c r="G128" s="239"/>
      <c r="H128" s="113"/>
      <c r="I128" s="113"/>
      <c r="J128" s="113"/>
      <c r="K128" s="113"/>
      <c r="L128" s="113"/>
      <c r="M128" s="239"/>
      <c r="N128" s="239"/>
      <c r="O128" s="239"/>
      <c r="P128" s="239"/>
      <c r="Q128" s="239"/>
      <c r="R128" s="239"/>
      <c r="S128" s="239"/>
      <c r="T128" s="169"/>
      <c r="U128" s="113"/>
      <c r="V128" s="169"/>
      <c r="W128" s="169"/>
      <c r="X128" s="169"/>
      <c r="Y128" s="169"/>
      <c r="Z128" s="169"/>
      <c r="AA128" s="169"/>
      <c r="AB128" s="169"/>
      <c r="AC128" s="169"/>
      <c r="AD128" s="169"/>
      <c r="AE128" s="169"/>
      <c r="AF128" s="169"/>
      <c r="AG128" s="169"/>
      <c r="AH128" s="169"/>
      <c r="AR128" s="114"/>
      <c r="AS128" s="114"/>
      <c r="AT128" s="114"/>
      <c r="AU128" s="114"/>
      <c r="AV128" s="114"/>
      <c r="AW128" s="114"/>
      <c r="AX128" s="114"/>
    </row>
    <row r="129" spans="1:50" s="110" customFormat="1" ht="17.25" customHeight="1">
      <c r="A129" s="111"/>
      <c r="B129" s="248"/>
      <c r="C129" s="112"/>
      <c r="D129" s="113"/>
      <c r="E129" s="239"/>
      <c r="F129" s="239"/>
      <c r="G129" s="239"/>
      <c r="H129" s="113"/>
      <c r="I129" s="113"/>
      <c r="J129" s="113"/>
      <c r="K129" s="113"/>
      <c r="L129" s="113"/>
      <c r="M129" s="239"/>
      <c r="N129" s="239"/>
      <c r="O129" s="239"/>
      <c r="P129" s="239"/>
      <c r="Q129" s="239"/>
      <c r="R129" s="239"/>
      <c r="S129" s="239"/>
      <c r="T129" s="169"/>
      <c r="U129" s="113"/>
      <c r="V129" s="169"/>
      <c r="W129" s="169"/>
      <c r="X129" s="169"/>
      <c r="Y129" s="169"/>
      <c r="Z129" s="169"/>
      <c r="AA129" s="169"/>
      <c r="AB129" s="169"/>
      <c r="AC129" s="169"/>
      <c r="AD129" s="169"/>
      <c r="AE129" s="169"/>
      <c r="AF129" s="169"/>
      <c r="AG129" s="169"/>
      <c r="AH129" s="169"/>
      <c r="AR129" s="114"/>
      <c r="AS129" s="114"/>
      <c r="AT129" s="114"/>
      <c r="AU129" s="114"/>
      <c r="AV129" s="114"/>
      <c r="AW129" s="114"/>
      <c r="AX129" s="114"/>
    </row>
    <row r="130" spans="1:50" s="110" customFormat="1" ht="17.25" customHeight="1">
      <c r="A130" s="111"/>
      <c r="B130" s="248"/>
      <c r="C130" s="112"/>
      <c r="D130" s="113"/>
      <c r="E130" s="239"/>
      <c r="F130" s="239"/>
      <c r="G130" s="239"/>
      <c r="H130" s="113"/>
      <c r="I130" s="113"/>
      <c r="J130" s="113"/>
      <c r="K130" s="113"/>
      <c r="L130" s="113"/>
      <c r="M130" s="239"/>
      <c r="N130" s="239"/>
      <c r="O130" s="239"/>
      <c r="P130" s="239"/>
      <c r="Q130" s="239"/>
      <c r="R130" s="239"/>
      <c r="S130" s="239"/>
      <c r="T130" s="169"/>
      <c r="U130" s="113"/>
      <c r="V130" s="169"/>
      <c r="W130" s="169"/>
      <c r="X130" s="169"/>
      <c r="Y130" s="169"/>
      <c r="Z130" s="169"/>
      <c r="AA130" s="169"/>
      <c r="AB130" s="169"/>
      <c r="AC130" s="169"/>
      <c r="AD130" s="169"/>
      <c r="AE130" s="169"/>
      <c r="AF130" s="169"/>
      <c r="AG130" s="169"/>
      <c r="AH130" s="169"/>
      <c r="AR130" s="114"/>
      <c r="AS130" s="114"/>
      <c r="AT130" s="114"/>
      <c r="AU130" s="114"/>
      <c r="AV130" s="114"/>
      <c r="AW130" s="114"/>
      <c r="AX130" s="114"/>
    </row>
    <row r="131" spans="1:50" s="110" customFormat="1" ht="17.100000000000001" customHeight="1">
      <c r="A131" s="111"/>
      <c r="B131" s="248"/>
      <c r="C131" s="112"/>
      <c r="D131" s="113"/>
      <c r="E131" s="239"/>
      <c r="F131" s="239"/>
      <c r="G131" s="239"/>
      <c r="H131" s="113"/>
      <c r="I131" s="113"/>
      <c r="J131" s="113"/>
      <c r="K131" s="113"/>
      <c r="L131" s="113"/>
      <c r="M131" s="239"/>
      <c r="N131" s="239"/>
      <c r="O131" s="239"/>
      <c r="P131" s="239"/>
      <c r="Q131" s="239"/>
      <c r="R131" s="239"/>
      <c r="S131" s="239"/>
      <c r="T131" s="169"/>
      <c r="U131" s="113"/>
      <c r="V131" s="169"/>
      <c r="W131" s="169"/>
      <c r="X131" s="169"/>
      <c r="Y131" s="169"/>
      <c r="Z131" s="169"/>
      <c r="AA131" s="169"/>
      <c r="AB131" s="169"/>
      <c r="AC131" s="169"/>
      <c r="AD131" s="169"/>
      <c r="AE131" s="169"/>
      <c r="AF131" s="169"/>
      <c r="AG131" s="169"/>
      <c r="AH131" s="169"/>
      <c r="AR131" s="114"/>
      <c r="AS131" s="114"/>
      <c r="AT131" s="114"/>
      <c r="AU131" s="114"/>
      <c r="AV131" s="114"/>
      <c r="AW131" s="114"/>
      <c r="AX131" s="114"/>
    </row>
    <row r="132" spans="1:50" s="110" customFormat="1" ht="17.25" customHeight="1">
      <c r="A132" s="111"/>
      <c r="B132" s="248"/>
      <c r="C132" s="112"/>
      <c r="D132" s="113"/>
      <c r="E132" s="239"/>
      <c r="F132" s="239"/>
      <c r="G132" s="239"/>
      <c r="H132" s="113"/>
      <c r="I132" s="113"/>
      <c r="J132" s="113"/>
      <c r="K132" s="113"/>
      <c r="L132" s="113"/>
      <c r="M132" s="239"/>
      <c r="N132" s="239"/>
      <c r="O132" s="239"/>
      <c r="P132" s="239"/>
      <c r="Q132" s="239"/>
      <c r="R132" s="239"/>
      <c r="S132" s="239"/>
      <c r="T132" s="169"/>
      <c r="U132" s="113"/>
      <c r="V132" s="169"/>
      <c r="W132" s="169"/>
      <c r="X132" s="169"/>
      <c r="Y132" s="169"/>
      <c r="Z132" s="169"/>
      <c r="AA132" s="169"/>
      <c r="AB132" s="169"/>
      <c r="AC132" s="169"/>
      <c r="AD132" s="169"/>
      <c r="AE132" s="169"/>
      <c r="AF132" s="169"/>
      <c r="AG132" s="169"/>
      <c r="AH132" s="169"/>
      <c r="AR132" s="114"/>
      <c r="AS132" s="114"/>
      <c r="AT132" s="114"/>
      <c r="AU132" s="114"/>
      <c r="AV132" s="114"/>
      <c r="AW132" s="114"/>
      <c r="AX132" s="114"/>
    </row>
    <row r="133" spans="1:50" s="110" customFormat="1" ht="17.25" customHeight="1">
      <c r="A133" s="111"/>
      <c r="B133" s="248"/>
      <c r="C133" s="112"/>
      <c r="D133" s="113"/>
      <c r="E133" s="239"/>
      <c r="F133" s="239"/>
      <c r="G133" s="239"/>
      <c r="H133" s="113"/>
      <c r="I133" s="113"/>
      <c r="J133" s="113"/>
      <c r="K133" s="113"/>
      <c r="L133" s="113"/>
      <c r="M133" s="239"/>
      <c r="N133" s="239"/>
      <c r="O133" s="239"/>
      <c r="P133" s="239"/>
      <c r="Q133" s="239"/>
      <c r="R133" s="239"/>
      <c r="S133" s="239"/>
      <c r="T133" s="169"/>
      <c r="U133" s="113"/>
      <c r="V133" s="169"/>
      <c r="W133" s="169"/>
      <c r="X133" s="169"/>
      <c r="Y133" s="169"/>
      <c r="Z133" s="169"/>
      <c r="AA133" s="169"/>
      <c r="AB133" s="169"/>
      <c r="AC133" s="169"/>
      <c r="AD133" s="169"/>
      <c r="AE133" s="169"/>
      <c r="AF133" s="169"/>
      <c r="AG133" s="169"/>
      <c r="AH133" s="169"/>
      <c r="AR133" s="114"/>
      <c r="AS133" s="114"/>
      <c r="AT133" s="114"/>
      <c r="AU133" s="114"/>
      <c r="AV133" s="114"/>
      <c r="AW133" s="114"/>
      <c r="AX133" s="114"/>
    </row>
    <row r="134" spans="1:50" s="110" customFormat="1" ht="17.25" customHeight="1">
      <c r="A134" s="111"/>
      <c r="B134" s="248"/>
      <c r="C134" s="112"/>
      <c r="D134" s="113"/>
      <c r="E134" s="239"/>
      <c r="F134" s="239"/>
      <c r="G134" s="239"/>
      <c r="H134" s="113"/>
      <c r="I134" s="113"/>
      <c r="J134" s="113"/>
      <c r="K134" s="113"/>
      <c r="L134" s="113"/>
      <c r="M134" s="239"/>
      <c r="N134" s="239"/>
      <c r="O134" s="239"/>
      <c r="P134" s="239"/>
      <c r="Q134" s="239"/>
      <c r="R134" s="239"/>
      <c r="S134" s="239"/>
      <c r="T134" s="169"/>
      <c r="U134" s="113"/>
      <c r="V134" s="169"/>
      <c r="W134" s="169"/>
      <c r="X134" s="169"/>
      <c r="Y134" s="169"/>
      <c r="Z134" s="169"/>
      <c r="AA134" s="169"/>
      <c r="AB134" s="169"/>
      <c r="AC134" s="169"/>
      <c r="AD134" s="169"/>
      <c r="AE134" s="169"/>
      <c r="AF134" s="169"/>
      <c r="AG134" s="169"/>
      <c r="AH134" s="169"/>
      <c r="AR134" s="114"/>
      <c r="AS134" s="114"/>
      <c r="AT134" s="114"/>
      <c r="AU134" s="114"/>
      <c r="AV134" s="114"/>
      <c r="AW134" s="114"/>
      <c r="AX134" s="114"/>
    </row>
    <row r="135" spans="1:50" s="110" customFormat="1" ht="17.25" customHeight="1">
      <c r="A135" s="111"/>
      <c r="B135" s="248"/>
      <c r="C135" s="112"/>
      <c r="D135" s="113"/>
      <c r="E135" s="239"/>
      <c r="F135" s="239"/>
      <c r="G135" s="239"/>
      <c r="H135" s="113"/>
      <c r="I135" s="113"/>
      <c r="J135" s="113"/>
      <c r="K135" s="113"/>
      <c r="L135" s="113"/>
      <c r="M135" s="239"/>
      <c r="N135" s="239"/>
      <c r="O135" s="239"/>
      <c r="P135" s="239"/>
      <c r="Q135" s="239"/>
      <c r="R135" s="239"/>
      <c r="S135" s="239"/>
      <c r="T135" s="169"/>
      <c r="U135" s="113"/>
      <c r="V135" s="169"/>
      <c r="W135" s="169"/>
      <c r="X135" s="169"/>
      <c r="Y135" s="169"/>
      <c r="Z135" s="169"/>
      <c r="AA135" s="169"/>
      <c r="AB135" s="169"/>
      <c r="AC135" s="169"/>
      <c r="AD135" s="169"/>
      <c r="AE135" s="169"/>
      <c r="AF135" s="169"/>
      <c r="AG135" s="169"/>
      <c r="AH135" s="169"/>
      <c r="AR135" s="114"/>
      <c r="AS135" s="114"/>
      <c r="AT135" s="114"/>
      <c r="AU135" s="114"/>
      <c r="AV135" s="114"/>
      <c r="AW135" s="114"/>
      <c r="AX135" s="114"/>
    </row>
    <row r="136" spans="1:50" s="110" customFormat="1" ht="17.25" customHeight="1">
      <c r="A136" s="111"/>
      <c r="B136" s="248"/>
      <c r="C136" s="112"/>
      <c r="D136" s="113"/>
      <c r="E136" s="239"/>
      <c r="F136" s="239"/>
      <c r="G136" s="239"/>
      <c r="H136" s="113"/>
      <c r="I136" s="113"/>
      <c r="J136" s="113"/>
      <c r="K136" s="113"/>
      <c r="L136" s="113"/>
      <c r="M136" s="239"/>
      <c r="N136" s="239"/>
      <c r="O136" s="239"/>
      <c r="P136" s="239"/>
      <c r="Q136" s="239"/>
      <c r="R136" s="239"/>
      <c r="S136" s="239"/>
      <c r="T136" s="169"/>
      <c r="U136" s="113"/>
      <c r="V136" s="169"/>
      <c r="W136" s="169"/>
      <c r="X136" s="169"/>
      <c r="Y136" s="169"/>
      <c r="Z136" s="169"/>
      <c r="AA136" s="169"/>
      <c r="AB136" s="169"/>
      <c r="AC136" s="169"/>
      <c r="AD136" s="169"/>
      <c r="AE136" s="169"/>
      <c r="AF136" s="169"/>
      <c r="AG136" s="169"/>
      <c r="AH136" s="169"/>
      <c r="AR136" s="114"/>
      <c r="AS136" s="114"/>
      <c r="AT136" s="114"/>
      <c r="AU136" s="114"/>
      <c r="AV136" s="114"/>
      <c r="AW136" s="114"/>
      <c r="AX136" s="114"/>
    </row>
    <row r="137" spans="1:50" s="110" customFormat="1" ht="17.25" customHeight="1">
      <c r="A137" s="111"/>
      <c r="B137" s="248"/>
      <c r="C137" s="112"/>
      <c r="D137" s="113"/>
      <c r="E137" s="239"/>
      <c r="F137" s="239"/>
      <c r="G137" s="239"/>
      <c r="H137" s="113"/>
      <c r="I137" s="113"/>
      <c r="J137" s="113"/>
      <c r="K137" s="113"/>
      <c r="L137" s="113"/>
      <c r="M137" s="239"/>
      <c r="N137" s="239"/>
      <c r="O137" s="239"/>
      <c r="P137" s="239"/>
      <c r="Q137" s="239"/>
      <c r="R137" s="239"/>
      <c r="S137" s="239"/>
      <c r="T137" s="169"/>
      <c r="U137" s="113"/>
      <c r="V137" s="169"/>
      <c r="W137" s="169"/>
      <c r="X137" s="169"/>
      <c r="Y137" s="169"/>
      <c r="Z137" s="169"/>
      <c r="AA137" s="169"/>
      <c r="AB137" s="169"/>
      <c r="AC137" s="169"/>
      <c r="AD137" s="169"/>
      <c r="AE137" s="169"/>
      <c r="AF137" s="169"/>
      <c r="AG137" s="169"/>
      <c r="AH137" s="169"/>
      <c r="AR137" s="114"/>
      <c r="AS137" s="114"/>
      <c r="AT137" s="114"/>
      <c r="AU137" s="114"/>
      <c r="AV137" s="114"/>
      <c r="AW137" s="114"/>
      <c r="AX137" s="114"/>
    </row>
    <row r="138" spans="1:50" s="110" customFormat="1" ht="17.25" customHeight="1">
      <c r="A138" s="111"/>
      <c r="B138" s="248"/>
      <c r="C138" s="112"/>
      <c r="D138" s="113"/>
      <c r="E138" s="239"/>
      <c r="F138" s="239"/>
      <c r="G138" s="239"/>
      <c r="H138" s="113"/>
      <c r="I138" s="113"/>
      <c r="J138" s="113"/>
      <c r="K138" s="113"/>
      <c r="L138" s="113"/>
      <c r="M138" s="239"/>
      <c r="N138" s="239"/>
      <c r="O138" s="239"/>
      <c r="P138" s="239"/>
      <c r="Q138" s="239"/>
      <c r="R138" s="239"/>
      <c r="S138" s="239"/>
      <c r="T138" s="169"/>
      <c r="U138" s="113"/>
      <c r="V138" s="169"/>
      <c r="W138" s="169"/>
      <c r="X138" s="169"/>
      <c r="Y138" s="169"/>
      <c r="Z138" s="169"/>
      <c r="AA138" s="169"/>
      <c r="AB138" s="169"/>
      <c r="AC138" s="169"/>
      <c r="AD138" s="169"/>
      <c r="AE138" s="169"/>
      <c r="AF138" s="169"/>
      <c r="AG138" s="169"/>
      <c r="AH138" s="169"/>
      <c r="AR138" s="114"/>
      <c r="AS138" s="114"/>
      <c r="AT138" s="114"/>
      <c r="AU138" s="114"/>
      <c r="AV138" s="114"/>
      <c r="AW138" s="114"/>
      <c r="AX138" s="114"/>
    </row>
    <row r="139" spans="1:50" s="110" customFormat="1" ht="17.25" customHeight="1">
      <c r="A139" s="111"/>
      <c r="B139" s="248"/>
      <c r="C139" s="112"/>
      <c r="D139" s="113"/>
      <c r="E139" s="239"/>
      <c r="F139" s="239"/>
      <c r="G139" s="239"/>
      <c r="H139" s="113"/>
      <c r="I139" s="113"/>
      <c r="J139" s="113"/>
      <c r="K139" s="113"/>
      <c r="L139" s="113"/>
      <c r="M139" s="239"/>
      <c r="N139" s="239"/>
      <c r="O139" s="239"/>
      <c r="P139" s="239"/>
      <c r="Q139" s="239"/>
      <c r="R139" s="239"/>
      <c r="S139" s="239"/>
      <c r="T139" s="169"/>
      <c r="U139" s="113"/>
      <c r="V139" s="169"/>
      <c r="W139" s="169"/>
      <c r="X139" s="169"/>
      <c r="Y139" s="169"/>
      <c r="Z139" s="169"/>
      <c r="AA139" s="169"/>
      <c r="AB139" s="169"/>
      <c r="AC139" s="169"/>
      <c r="AD139" s="169"/>
      <c r="AE139" s="169"/>
      <c r="AF139" s="169"/>
      <c r="AG139" s="169"/>
      <c r="AH139" s="169"/>
      <c r="AR139" s="114"/>
      <c r="AS139" s="114"/>
      <c r="AT139" s="114"/>
      <c r="AU139" s="114"/>
      <c r="AV139" s="114"/>
      <c r="AW139" s="114"/>
      <c r="AX139" s="114"/>
    </row>
    <row r="140" spans="1:50" s="110" customFormat="1" ht="17.25" customHeight="1">
      <c r="A140" s="111"/>
      <c r="B140" s="248"/>
      <c r="C140" s="112"/>
      <c r="D140" s="113"/>
      <c r="E140" s="239"/>
      <c r="F140" s="239"/>
      <c r="G140" s="239"/>
      <c r="H140" s="113"/>
      <c r="I140" s="113"/>
      <c r="J140" s="113"/>
      <c r="K140" s="113"/>
      <c r="L140" s="113"/>
      <c r="M140" s="239"/>
      <c r="N140" s="239"/>
      <c r="O140" s="239"/>
      <c r="P140" s="239"/>
      <c r="Q140" s="239"/>
      <c r="R140" s="239"/>
      <c r="S140" s="239"/>
      <c r="T140" s="169"/>
      <c r="U140" s="113"/>
      <c r="V140" s="169"/>
      <c r="W140" s="169"/>
      <c r="X140" s="169"/>
      <c r="Y140" s="169"/>
      <c r="Z140" s="169"/>
      <c r="AA140" s="169"/>
      <c r="AB140" s="169"/>
      <c r="AC140" s="169"/>
      <c r="AD140" s="169"/>
      <c r="AE140" s="169"/>
      <c r="AF140" s="169"/>
      <c r="AG140" s="169"/>
      <c r="AH140" s="169"/>
      <c r="AR140" s="114"/>
      <c r="AS140" s="114"/>
      <c r="AT140" s="114"/>
      <c r="AU140" s="114"/>
      <c r="AV140" s="114"/>
      <c r="AW140" s="114"/>
      <c r="AX140" s="114"/>
    </row>
    <row r="141" spans="1:50" s="110" customFormat="1" ht="17.25" customHeight="1">
      <c r="A141" s="111"/>
      <c r="B141" s="248"/>
      <c r="C141" s="112"/>
      <c r="D141" s="113"/>
      <c r="E141" s="239"/>
      <c r="F141" s="239"/>
      <c r="G141" s="239"/>
      <c r="H141" s="113"/>
      <c r="I141" s="113"/>
      <c r="J141" s="113"/>
      <c r="K141" s="113"/>
      <c r="L141" s="113"/>
      <c r="M141" s="239"/>
      <c r="N141" s="239"/>
      <c r="O141" s="239"/>
      <c r="P141" s="239"/>
      <c r="Q141" s="239"/>
      <c r="R141" s="239"/>
      <c r="S141" s="239"/>
      <c r="T141" s="169"/>
      <c r="U141" s="113"/>
      <c r="V141" s="169"/>
      <c r="W141" s="169"/>
      <c r="X141" s="169"/>
      <c r="Y141" s="169"/>
      <c r="Z141" s="169"/>
      <c r="AA141" s="169"/>
      <c r="AB141" s="169"/>
      <c r="AC141" s="169"/>
      <c r="AD141" s="169"/>
      <c r="AE141" s="169"/>
      <c r="AF141" s="169"/>
      <c r="AG141" s="169"/>
      <c r="AH141" s="169"/>
      <c r="AR141" s="114"/>
      <c r="AS141" s="114"/>
      <c r="AT141" s="114"/>
      <c r="AU141" s="114"/>
      <c r="AV141" s="114"/>
      <c r="AW141" s="114"/>
      <c r="AX141" s="114"/>
    </row>
    <row r="142" spans="1:50" s="110" customFormat="1" ht="17.25" customHeight="1">
      <c r="A142" s="111"/>
      <c r="B142" s="248"/>
      <c r="C142" s="112"/>
      <c r="D142" s="113"/>
      <c r="E142" s="239"/>
      <c r="F142" s="239"/>
      <c r="G142" s="239"/>
      <c r="H142" s="113"/>
      <c r="I142" s="113"/>
      <c r="J142" s="113"/>
      <c r="K142" s="113"/>
      <c r="L142" s="113"/>
      <c r="M142" s="239"/>
      <c r="N142" s="239"/>
      <c r="O142" s="239"/>
      <c r="P142" s="239"/>
      <c r="Q142" s="239"/>
      <c r="R142" s="239"/>
      <c r="S142" s="239"/>
      <c r="T142" s="169"/>
      <c r="U142" s="113"/>
      <c r="V142" s="169"/>
      <c r="W142" s="169"/>
      <c r="X142" s="169"/>
      <c r="Y142" s="169"/>
      <c r="Z142" s="169"/>
      <c r="AA142" s="169"/>
      <c r="AB142" s="169"/>
      <c r="AC142" s="169"/>
      <c r="AD142" s="169"/>
      <c r="AE142" s="169"/>
      <c r="AF142" s="169"/>
      <c r="AG142" s="169"/>
      <c r="AH142" s="169"/>
      <c r="AR142" s="114"/>
      <c r="AS142" s="114"/>
      <c r="AT142" s="114"/>
      <c r="AU142" s="114"/>
      <c r="AV142" s="114"/>
      <c r="AW142" s="114"/>
      <c r="AX142" s="114"/>
    </row>
    <row r="143" spans="1:50" s="110" customFormat="1" ht="17.25" customHeight="1">
      <c r="A143" s="111"/>
      <c r="B143" s="248"/>
      <c r="C143" s="112"/>
      <c r="D143" s="113"/>
      <c r="E143" s="239"/>
      <c r="F143" s="239"/>
      <c r="G143" s="239"/>
      <c r="H143" s="113"/>
      <c r="I143" s="113"/>
      <c r="J143" s="113"/>
      <c r="K143" s="113"/>
      <c r="L143" s="113"/>
      <c r="M143" s="239"/>
      <c r="N143" s="239"/>
      <c r="O143" s="239"/>
      <c r="P143" s="239"/>
      <c r="Q143" s="239"/>
      <c r="R143" s="239"/>
      <c r="S143" s="239"/>
      <c r="T143" s="169"/>
      <c r="U143" s="113"/>
      <c r="V143" s="169"/>
      <c r="W143" s="169"/>
      <c r="X143" s="169"/>
      <c r="Y143" s="169"/>
      <c r="Z143" s="169"/>
      <c r="AA143" s="169"/>
      <c r="AB143" s="169"/>
      <c r="AC143" s="169"/>
      <c r="AD143" s="169"/>
      <c r="AE143" s="169"/>
      <c r="AF143" s="169"/>
      <c r="AG143" s="169"/>
      <c r="AH143" s="169"/>
      <c r="AR143" s="114"/>
      <c r="AS143" s="114"/>
      <c r="AT143" s="114"/>
      <c r="AU143" s="114"/>
      <c r="AV143" s="114"/>
      <c r="AW143" s="114"/>
      <c r="AX143" s="114"/>
    </row>
    <row r="144" spans="1:50" s="110" customFormat="1" ht="17.25" customHeight="1">
      <c r="A144" s="111"/>
      <c r="B144" s="248"/>
      <c r="C144" s="112"/>
      <c r="D144" s="113"/>
      <c r="E144" s="239"/>
      <c r="F144" s="239"/>
      <c r="G144" s="239"/>
      <c r="H144" s="113"/>
      <c r="I144" s="113"/>
      <c r="J144" s="113"/>
      <c r="K144" s="113"/>
      <c r="L144" s="113"/>
      <c r="M144" s="239"/>
      <c r="N144" s="239"/>
      <c r="O144" s="239"/>
      <c r="P144" s="239"/>
      <c r="Q144" s="239"/>
      <c r="R144" s="239"/>
      <c r="S144" s="239"/>
      <c r="T144" s="169"/>
      <c r="U144" s="113"/>
      <c r="V144" s="169"/>
      <c r="W144" s="169"/>
      <c r="X144" s="169"/>
      <c r="Y144" s="169"/>
      <c r="Z144" s="169"/>
      <c r="AA144" s="169"/>
      <c r="AB144" s="169"/>
      <c r="AC144" s="169"/>
      <c r="AD144" s="169"/>
      <c r="AE144" s="169"/>
      <c r="AF144" s="169"/>
      <c r="AG144" s="169"/>
      <c r="AH144" s="169"/>
      <c r="AR144" s="114"/>
      <c r="AS144" s="114"/>
      <c r="AT144" s="114"/>
      <c r="AU144" s="114"/>
      <c r="AV144" s="114"/>
      <c r="AW144" s="114"/>
      <c r="AX144" s="114"/>
    </row>
    <row r="145" spans="1:50" s="110" customFormat="1" ht="17.25" customHeight="1">
      <c r="A145" s="111"/>
      <c r="B145" s="248"/>
      <c r="C145" s="112"/>
      <c r="D145" s="113"/>
      <c r="E145" s="239"/>
      <c r="F145" s="239"/>
      <c r="G145" s="239"/>
      <c r="H145" s="113"/>
      <c r="I145" s="113"/>
      <c r="J145" s="113"/>
      <c r="K145" s="113"/>
      <c r="L145" s="113"/>
      <c r="M145" s="239"/>
      <c r="N145" s="239"/>
      <c r="O145" s="239"/>
      <c r="P145" s="239"/>
      <c r="Q145" s="239"/>
      <c r="R145" s="239"/>
      <c r="S145" s="239"/>
      <c r="T145" s="169"/>
      <c r="U145" s="113"/>
      <c r="V145" s="169"/>
      <c r="W145" s="169"/>
      <c r="X145" s="169"/>
      <c r="Y145" s="169"/>
      <c r="Z145" s="169"/>
      <c r="AA145" s="169"/>
      <c r="AB145" s="169"/>
      <c r="AC145" s="169"/>
      <c r="AD145" s="169"/>
      <c r="AE145" s="169"/>
      <c r="AF145" s="169"/>
      <c r="AG145" s="169"/>
      <c r="AH145" s="169"/>
      <c r="AR145" s="114"/>
      <c r="AS145" s="114"/>
      <c r="AT145" s="114"/>
      <c r="AU145" s="114"/>
      <c r="AV145" s="114"/>
      <c r="AW145" s="114"/>
      <c r="AX145" s="114"/>
    </row>
    <row r="146" spans="1:50" s="110" customFormat="1" ht="17.25" customHeight="1">
      <c r="A146" s="111"/>
      <c r="B146" s="248"/>
      <c r="C146" s="112"/>
      <c r="D146" s="113"/>
      <c r="E146" s="239"/>
      <c r="F146" s="239"/>
      <c r="G146" s="239"/>
      <c r="H146" s="113"/>
      <c r="I146" s="113"/>
      <c r="J146" s="113"/>
      <c r="K146" s="113"/>
      <c r="L146" s="113"/>
      <c r="M146" s="239"/>
      <c r="N146" s="239"/>
      <c r="O146" s="239"/>
      <c r="P146" s="239"/>
      <c r="Q146" s="239"/>
      <c r="R146" s="239"/>
      <c r="S146" s="239"/>
      <c r="T146" s="169"/>
      <c r="U146" s="113"/>
      <c r="V146" s="169"/>
      <c r="W146" s="169"/>
      <c r="X146" s="169"/>
      <c r="Y146" s="169"/>
      <c r="Z146" s="169"/>
      <c r="AA146" s="169"/>
      <c r="AB146" s="169"/>
      <c r="AC146" s="169"/>
      <c r="AD146" s="169"/>
      <c r="AE146" s="169"/>
      <c r="AF146" s="169"/>
      <c r="AG146" s="169"/>
      <c r="AH146" s="169"/>
      <c r="AR146" s="114"/>
      <c r="AS146" s="114"/>
      <c r="AT146" s="114"/>
      <c r="AU146" s="114"/>
      <c r="AV146" s="114"/>
      <c r="AW146" s="114"/>
      <c r="AX146" s="114"/>
    </row>
    <row r="147" spans="1:50" s="110" customFormat="1" ht="17.25" customHeight="1">
      <c r="A147" s="111"/>
      <c r="B147" s="248"/>
      <c r="C147" s="112"/>
      <c r="D147" s="113"/>
      <c r="E147" s="239"/>
      <c r="F147" s="239"/>
      <c r="G147" s="239"/>
      <c r="H147" s="113"/>
      <c r="I147" s="113"/>
      <c r="J147" s="113"/>
      <c r="K147" s="113"/>
      <c r="L147" s="113"/>
      <c r="M147" s="239"/>
      <c r="N147" s="239"/>
      <c r="O147" s="239"/>
      <c r="P147" s="239"/>
      <c r="Q147" s="239"/>
      <c r="R147" s="239"/>
      <c r="S147" s="239"/>
      <c r="T147" s="169"/>
      <c r="U147" s="113"/>
      <c r="V147" s="169"/>
      <c r="W147" s="169"/>
      <c r="X147" s="169"/>
      <c r="Y147" s="169"/>
      <c r="Z147" s="169"/>
      <c r="AA147" s="169"/>
      <c r="AB147" s="169"/>
      <c r="AC147" s="169"/>
      <c r="AD147" s="169"/>
      <c r="AE147" s="169"/>
      <c r="AF147" s="169"/>
      <c r="AG147" s="169"/>
      <c r="AH147" s="169"/>
      <c r="AR147" s="114"/>
      <c r="AS147" s="114"/>
      <c r="AT147" s="114"/>
      <c r="AU147" s="114"/>
      <c r="AV147" s="114"/>
      <c r="AW147" s="114"/>
      <c r="AX147" s="114"/>
    </row>
    <row r="148" spans="1:50" s="110" customFormat="1" ht="17.25" customHeight="1">
      <c r="A148" s="111"/>
      <c r="B148" s="248"/>
      <c r="C148" s="112"/>
      <c r="D148" s="113"/>
      <c r="E148" s="239"/>
      <c r="F148" s="239"/>
      <c r="G148" s="239"/>
      <c r="H148" s="113"/>
      <c r="I148" s="113"/>
      <c r="J148" s="113"/>
      <c r="K148" s="113"/>
      <c r="L148" s="113"/>
      <c r="M148" s="239"/>
      <c r="N148" s="239"/>
      <c r="O148" s="239"/>
      <c r="P148" s="239"/>
      <c r="Q148" s="239"/>
      <c r="R148" s="239"/>
      <c r="S148" s="239"/>
      <c r="T148" s="169"/>
      <c r="U148" s="113"/>
      <c r="V148" s="169"/>
      <c r="W148" s="169"/>
      <c r="X148" s="169"/>
      <c r="Y148" s="169"/>
      <c r="Z148" s="169"/>
      <c r="AA148" s="169"/>
      <c r="AB148" s="169"/>
      <c r="AC148" s="169"/>
      <c r="AD148" s="169"/>
      <c r="AE148" s="169"/>
      <c r="AF148" s="169"/>
      <c r="AG148" s="169"/>
      <c r="AH148" s="169"/>
      <c r="AR148" s="114"/>
      <c r="AS148" s="114"/>
      <c r="AT148" s="114"/>
      <c r="AU148" s="114"/>
      <c r="AV148" s="114"/>
      <c r="AW148" s="114"/>
      <c r="AX148" s="114"/>
    </row>
    <row r="149" spans="1:50" s="110" customFormat="1" ht="17.25" customHeight="1">
      <c r="A149" s="111"/>
      <c r="B149" s="248"/>
      <c r="C149" s="112"/>
      <c r="D149" s="113"/>
      <c r="E149" s="239"/>
      <c r="F149" s="239"/>
      <c r="G149" s="239"/>
      <c r="H149" s="113"/>
      <c r="I149" s="113"/>
      <c r="J149" s="113"/>
      <c r="K149" s="113"/>
      <c r="L149" s="113"/>
      <c r="M149" s="239"/>
      <c r="N149" s="239"/>
      <c r="O149" s="239"/>
      <c r="P149" s="239"/>
      <c r="Q149" s="239"/>
      <c r="R149" s="239"/>
      <c r="S149" s="239"/>
      <c r="T149" s="169"/>
      <c r="U149" s="113"/>
      <c r="V149" s="169"/>
      <c r="W149" s="169"/>
      <c r="X149" s="169"/>
      <c r="Y149" s="169"/>
      <c r="Z149" s="169"/>
      <c r="AA149" s="169"/>
      <c r="AB149" s="169"/>
      <c r="AC149" s="169"/>
      <c r="AD149" s="169"/>
      <c r="AE149" s="169"/>
      <c r="AF149" s="169"/>
      <c r="AG149" s="169"/>
      <c r="AH149" s="169"/>
      <c r="AR149" s="114"/>
      <c r="AS149" s="114"/>
      <c r="AT149" s="114"/>
      <c r="AU149" s="114"/>
      <c r="AV149" s="114"/>
      <c r="AW149" s="114"/>
      <c r="AX149" s="114"/>
    </row>
    <row r="150" spans="1:50" s="110" customFormat="1" ht="17.25" customHeight="1">
      <c r="A150" s="111"/>
      <c r="B150" s="248"/>
      <c r="C150" s="112"/>
      <c r="D150" s="113"/>
      <c r="E150" s="239"/>
      <c r="F150" s="239"/>
      <c r="G150" s="239"/>
      <c r="H150" s="113"/>
      <c r="I150" s="113"/>
      <c r="J150" s="113"/>
      <c r="K150" s="113"/>
      <c r="L150" s="113"/>
      <c r="M150" s="239"/>
      <c r="N150" s="239"/>
      <c r="O150" s="239"/>
      <c r="P150" s="239"/>
      <c r="Q150" s="239"/>
      <c r="R150" s="239"/>
      <c r="S150" s="239"/>
      <c r="T150" s="169"/>
      <c r="U150" s="113"/>
      <c r="V150" s="169"/>
      <c r="W150" s="169"/>
      <c r="X150" s="169"/>
      <c r="Y150" s="169"/>
      <c r="Z150" s="169"/>
      <c r="AA150" s="169"/>
      <c r="AB150" s="169"/>
      <c r="AC150" s="169"/>
      <c r="AD150" s="169"/>
      <c r="AE150" s="169"/>
      <c r="AF150" s="169"/>
      <c r="AG150" s="169"/>
      <c r="AH150" s="169"/>
      <c r="AR150" s="114"/>
      <c r="AS150" s="114"/>
      <c r="AT150" s="114"/>
      <c r="AU150" s="114"/>
      <c r="AV150" s="114"/>
      <c r="AW150" s="114"/>
      <c r="AX150" s="114"/>
    </row>
    <row r="151" spans="1:50" s="110" customFormat="1" ht="17.25" customHeight="1">
      <c r="A151" s="111"/>
      <c r="B151" s="248"/>
      <c r="C151" s="112"/>
      <c r="D151" s="113"/>
      <c r="E151" s="239"/>
      <c r="F151" s="239"/>
      <c r="G151" s="239"/>
      <c r="H151" s="113"/>
      <c r="I151" s="113"/>
      <c r="J151" s="113"/>
      <c r="K151" s="113"/>
      <c r="L151" s="113"/>
      <c r="M151" s="239"/>
      <c r="N151" s="239"/>
      <c r="O151" s="239"/>
      <c r="P151" s="239"/>
      <c r="Q151" s="239"/>
      <c r="R151" s="239"/>
      <c r="S151" s="239"/>
      <c r="T151" s="169"/>
      <c r="U151" s="113"/>
      <c r="V151" s="169"/>
      <c r="W151" s="169"/>
      <c r="X151" s="169"/>
      <c r="Y151" s="169"/>
      <c r="Z151" s="169"/>
      <c r="AA151" s="169"/>
      <c r="AB151" s="169"/>
      <c r="AC151" s="169"/>
      <c r="AD151" s="169"/>
      <c r="AE151" s="169"/>
      <c r="AF151" s="169"/>
      <c r="AG151" s="169"/>
      <c r="AH151" s="169"/>
      <c r="AR151" s="114"/>
      <c r="AS151" s="114"/>
      <c r="AT151" s="114"/>
      <c r="AU151" s="114"/>
      <c r="AV151" s="114"/>
      <c r="AW151" s="114"/>
      <c r="AX151" s="114"/>
    </row>
    <row r="152" spans="1:50" s="110" customFormat="1" ht="17.25" customHeight="1">
      <c r="A152" s="111"/>
      <c r="B152" s="248"/>
      <c r="C152" s="112"/>
      <c r="D152" s="113"/>
      <c r="E152" s="239"/>
      <c r="F152" s="239"/>
      <c r="G152" s="239"/>
      <c r="H152" s="113"/>
      <c r="I152" s="113"/>
      <c r="J152" s="113"/>
      <c r="K152" s="113"/>
      <c r="L152" s="113"/>
      <c r="M152" s="239"/>
      <c r="N152" s="239"/>
      <c r="O152" s="239"/>
      <c r="P152" s="239"/>
      <c r="Q152" s="239"/>
      <c r="R152" s="239"/>
      <c r="S152" s="239"/>
      <c r="T152" s="169"/>
      <c r="U152" s="113"/>
      <c r="V152" s="169"/>
      <c r="W152" s="169"/>
      <c r="X152" s="169"/>
      <c r="Y152" s="169"/>
      <c r="Z152" s="169"/>
      <c r="AA152" s="169"/>
      <c r="AB152" s="169"/>
      <c r="AC152" s="169"/>
      <c r="AD152" s="169"/>
      <c r="AE152" s="169"/>
      <c r="AF152" s="169"/>
      <c r="AG152" s="169"/>
      <c r="AH152" s="169"/>
      <c r="AR152" s="114"/>
      <c r="AS152" s="114"/>
      <c r="AT152" s="114"/>
      <c r="AU152" s="114"/>
      <c r="AV152" s="114"/>
      <c r="AW152" s="114"/>
      <c r="AX152" s="114"/>
    </row>
    <row r="153" spans="1:50" s="110" customFormat="1" ht="17.25" customHeight="1">
      <c r="A153" s="111"/>
      <c r="B153" s="248"/>
      <c r="C153" s="112"/>
      <c r="D153" s="113"/>
      <c r="E153" s="239"/>
      <c r="F153" s="239"/>
      <c r="G153" s="239"/>
      <c r="H153" s="113"/>
      <c r="I153" s="113"/>
      <c r="J153" s="113"/>
      <c r="K153" s="113"/>
      <c r="L153" s="113"/>
      <c r="M153" s="239"/>
      <c r="N153" s="239"/>
      <c r="O153" s="239"/>
      <c r="P153" s="239"/>
      <c r="Q153" s="239"/>
      <c r="R153" s="239"/>
      <c r="S153" s="239"/>
      <c r="T153" s="169"/>
      <c r="U153" s="113"/>
      <c r="V153" s="169"/>
      <c r="W153" s="169"/>
      <c r="X153" s="169"/>
      <c r="Y153" s="169"/>
      <c r="Z153" s="169"/>
      <c r="AA153" s="169"/>
      <c r="AB153" s="169"/>
      <c r="AC153" s="169"/>
      <c r="AD153" s="169"/>
      <c r="AE153" s="169"/>
      <c r="AF153" s="169"/>
      <c r="AG153" s="169"/>
      <c r="AH153" s="169"/>
      <c r="AR153" s="114"/>
      <c r="AS153" s="114"/>
      <c r="AT153" s="114"/>
      <c r="AU153" s="114"/>
      <c r="AV153" s="114"/>
      <c r="AW153" s="114"/>
      <c r="AX153" s="114"/>
    </row>
    <row r="154" spans="1:50" s="110" customFormat="1" ht="17.25" customHeight="1">
      <c r="A154" s="111"/>
      <c r="B154" s="248"/>
      <c r="C154" s="112"/>
      <c r="D154" s="113"/>
      <c r="E154" s="239"/>
      <c r="F154" s="239"/>
      <c r="G154" s="239"/>
      <c r="H154" s="113"/>
      <c r="I154" s="113"/>
      <c r="J154" s="113"/>
      <c r="K154" s="113"/>
      <c r="L154" s="113"/>
      <c r="M154" s="239"/>
      <c r="N154" s="239"/>
      <c r="O154" s="239"/>
      <c r="P154" s="239"/>
      <c r="Q154" s="239"/>
      <c r="R154" s="239"/>
      <c r="S154" s="239"/>
      <c r="T154" s="169"/>
      <c r="U154" s="113"/>
      <c r="V154" s="169"/>
      <c r="W154" s="169"/>
      <c r="X154" s="169"/>
      <c r="Y154" s="169"/>
      <c r="Z154" s="169"/>
      <c r="AA154" s="169"/>
      <c r="AB154" s="169"/>
      <c r="AC154" s="169"/>
      <c r="AD154" s="169"/>
      <c r="AE154" s="169"/>
      <c r="AF154" s="169"/>
      <c r="AG154" s="169"/>
      <c r="AH154" s="169"/>
      <c r="AR154" s="114"/>
      <c r="AS154" s="114"/>
      <c r="AT154" s="114"/>
      <c r="AU154" s="114"/>
      <c r="AV154" s="114"/>
      <c r="AW154" s="114"/>
      <c r="AX154" s="114"/>
    </row>
    <row r="155" spans="1:50" s="110" customFormat="1" ht="17.25" customHeight="1">
      <c r="A155" s="111"/>
      <c r="B155" s="248"/>
      <c r="C155" s="112"/>
      <c r="D155" s="113"/>
      <c r="E155" s="239"/>
      <c r="F155" s="239"/>
      <c r="G155" s="239"/>
      <c r="H155" s="113"/>
      <c r="I155" s="113"/>
      <c r="J155" s="113"/>
      <c r="K155" s="113"/>
      <c r="L155" s="113"/>
      <c r="M155" s="239"/>
      <c r="N155" s="239"/>
      <c r="O155" s="239"/>
      <c r="P155" s="239"/>
      <c r="Q155" s="239"/>
      <c r="R155" s="239"/>
      <c r="S155" s="239"/>
      <c r="T155" s="169"/>
      <c r="U155" s="113"/>
      <c r="V155" s="169"/>
      <c r="W155" s="169"/>
      <c r="X155" s="169"/>
      <c r="Y155" s="169"/>
      <c r="Z155" s="169"/>
      <c r="AA155" s="169"/>
      <c r="AB155" s="169"/>
      <c r="AC155" s="169"/>
      <c r="AD155" s="169"/>
      <c r="AE155" s="169"/>
      <c r="AF155" s="169"/>
      <c r="AG155" s="169"/>
      <c r="AH155" s="169"/>
      <c r="AR155" s="114"/>
      <c r="AS155" s="114"/>
      <c r="AT155" s="114"/>
      <c r="AU155" s="114"/>
      <c r="AV155" s="114"/>
      <c r="AW155" s="114"/>
      <c r="AX155" s="114"/>
    </row>
    <row r="156" spans="1:50" s="110" customFormat="1" ht="17.25" customHeight="1">
      <c r="A156" s="111"/>
      <c r="B156" s="248"/>
      <c r="C156" s="112"/>
      <c r="D156" s="113"/>
      <c r="E156" s="239"/>
      <c r="F156" s="239"/>
      <c r="G156" s="239"/>
      <c r="H156" s="113"/>
      <c r="I156" s="113"/>
      <c r="J156" s="113"/>
      <c r="K156" s="113"/>
      <c r="L156" s="113"/>
      <c r="M156" s="239"/>
      <c r="N156" s="239"/>
      <c r="O156" s="239"/>
      <c r="P156" s="239"/>
      <c r="Q156" s="239"/>
      <c r="R156" s="239"/>
      <c r="S156" s="239"/>
      <c r="T156" s="169"/>
      <c r="U156" s="113"/>
      <c r="V156" s="169"/>
      <c r="W156" s="169"/>
      <c r="X156" s="169"/>
      <c r="Y156" s="169"/>
      <c r="Z156" s="169"/>
      <c r="AA156" s="169"/>
      <c r="AB156" s="169"/>
      <c r="AC156" s="169"/>
      <c r="AD156" s="169"/>
      <c r="AE156" s="169"/>
      <c r="AF156" s="169"/>
      <c r="AG156" s="169"/>
      <c r="AH156" s="169"/>
      <c r="AR156" s="114"/>
      <c r="AS156" s="114"/>
      <c r="AT156" s="114"/>
      <c r="AU156" s="114"/>
      <c r="AV156" s="114"/>
      <c r="AW156" s="114"/>
      <c r="AX156" s="114"/>
    </row>
    <row r="157" spans="1:50" s="110" customFormat="1" ht="17.25" customHeight="1">
      <c r="A157" s="111"/>
      <c r="B157" s="248"/>
      <c r="C157" s="112"/>
      <c r="D157" s="113"/>
      <c r="E157" s="239"/>
      <c r="F157" s="239"/>
      <c r="G157" s="239"/>
      <c r="H157" s="113"/>
      <c r="I157" s="113"/>
      <c r="J157" s="113"/>
      <c r="K157" s="113"/>
      <c r="L157" s="113"/>
      <c r="M157" s="239"/>
      <c r="N157" s="239"/>
      <c r="O157" s="239"/>
      <c r="P157" s="239"/>
      <c r="Q157" s="239"/>
      <c r="R157" s="239"/>
      <c r="S157" s="239"/>
      <c r="T157" s="169"/>
      <c r="U157" s="113"/>
      <c r="V157" s="169"/>
      <c r="W157" s="169"/>
      <c r="X157" s="169"/>
      <c r="Y157" s="169"/>
      <c r="Z157" s="169"/>
      <c r="AA157" s="169"/>
      <c r="AB157" s="169"/>
      <c r="AC157" s="169"/>
      <c r="AD157" s="169"/>
      <c r="AE157" s="169"/>
      <c r="AF157" s="169"/>
      <c r="AG157" s="169"/>
      <c r="AH157" s="169"/>
      <c r="AR157" s="114"/>
      <c r="AS157" s="114"/>
      <c r="AT157" s="114"/>
      <c r="AU157" s="114"/>
      <c r="AV157" s="114"/>
      <c r="AW157" s="114"/>
      <c r="AX157" s="114"/>
    </row>
    <row r="158" spans="1:50" s="110" customFormat="1" ht="17.25" customHeight="1">
      <c r="A158" s="111"/>
      <c r="B158" s="248"/>
      <c r="C158" s="112"/>
      <c r="D158" s="113"/>
      <c r="E158" s="239"/>
      <c r="F158" s="239"/>
      <c r="G158" s="239"/>
      <c r="H158" s="113"/>
      <c r="I158" s="113"/>
      <c r="J158" s="113"/>
      <c r="K158" s="113"/>
      <c r="L158" s="113"/>
      <c r="M158" s="239"/>
      <c r="N158" s="239"/>
      <c r="O158" s="239"/>
      <c r="P158" s="239"/>
      <c r="Q158" s="239"/>
      <c r="R158" s="239"/>
      <c r="S158" s="239"/>
      <c r="T158" s="169"/>
      <c r="U158" s="113"/>
      <c r="V158" s="169"/>
      <c r="W158" s="169"/>
      <c r="X158" s="169"/>
      <c r="Y158" s="169"/>
      <c r="Z158" s="169"/>
      <c r="AA158" s="169"/>
      <c r="AB158" s="169"/>
      <c r="AC158" s="169"/>
      <c r="AD158" s="169"/>
      <c r="AE158" s="169"/>
      <c r="AF158" s="169"/>
      <c r="AG158" s="169"/>
      <c r="AH158" s="169"/>
      <c r="AR158" s="114"/>
      <c r="AS158" s="114"/>
      <c r="AT158" s="114"/>
      <c r="AU158" s="114"/>
      <c r="AV158" s="114"/>
      <c r="AW158" s="114"/>
      <c r="AX158" s="114"/>
    </row>
    <row r="159" spans="1:50" s="110" customFormat="1" ht="17.25" customHeight="1">
      <c r="A159" s="111"/>
      <c r="B159" s="248"/>
      <c r="C159" s="112"/>
      <c r="D159" s="113"/>
      <c r="E159" s="239"/>
      <c r="F159" s="239"/>
      <c r="G159" s="239"/>
      <c r="H159" s="113"/>
      <c r="I159" s="113"/>
      <c r="J159" s="113"/>
      <c r="K159" s="113"/>
      <c r="L159" s="113"/>
      <c r="M159" s="239"/>
      <c r="N159" s="239"/>
      <c r="O159" s="239"/>
      <c r="P159" s="239"/>
      <c r="Q159" s="239"/>
      <c r="R159" s="239"/>
      <c r="S159" s="239"/>
      <c r="T159" s="169"/>
      <c r="U159" s="113"/>
      <c r="V159" s="169"/>
      <c r="W159" s="169"/>
      <c r="X159" s="169"/>
      <c r="Y159" s="169"/>
      <c r="Z159" s="169"/>
      <c r="AA159" s="169"/>
      <c r="AB159" s="169"/>
      <c r="AC159" s="169"/>
      <c r="AD159" s="169"/>
      <c r="AE159" s="169"/>
      <c r="AF159" s="169"/>
      <c r="AG159" s="169"/>
      <c r="AH159" s="169"/>
      <c r="AR159" s="114"/>
      <c r="AS159" s="114"/>
      <c r="AT159" s="114"/>
      <c r="AU159" s="114"/>
      <c r="AV159" s="114"/>
      <c r="AW159" s="114"/>
      <c r="AX159" s="114"/>
    </row>
    <row r="160" spans="1:50" s="110" customFormat="1" ht="17.25" customHeight="1">
      <c r="A160" s="111"/>
      <c r="B160" s="248"/>
      <c r="C160" s="112"/>
      <c r="D160" s="113"/>
      <c r="E160" s="239"/>
      <c r="F160" s="239"/>
      <c r="G160" s="239"/>
      <c r="H160" s="113"/>
      <c r="I160" s="113"/>
      <c r="J160" s="113"/>
      <c r="K160" s="113"/>
      <c r="L160" s="113"/>
      <c r="M160" s="239"/>
      <c r="N160" s="239"/>
      <c r="O160" s="239"/>
      <c r="P160" s="239"/>
      <c r="Q160" s="239"/>
      <c r="R160" s="239"/>
      <c r="S160" s="239"/>
      <c r="T160" s="169"/>
      <c r="U160" s="113"/>
      <c r="V160" s="169"/>
      <c r="W160" s="169"/>
      <c r="X160" s="169"/>
      <c r="Y160" s="169"/>
      <c r="Z160" s="169"/>
      <c r="AA160" s="169"/>
      <c r="AB160" s="169"/>
      <c r="AC160" s="169"/>
      <c r="AD160" s="169"/>
      <c r="AE160" s="169"/>
      <c r="AF160" s="169"/>
      <c r="AG160" s="169"/>
      <c r="AH160" s="169"/>
      <c r="AR160" s="114"/>
      <c r="AS160" s="114"/>
      <c r="AT160" s="114"/>
      <c r="AU160" s="114"/>
      <c r="AV160" s="114"/>
      <c r="AW160" s="114"/>
      <c r="AX160" s="114"/>
    </row>
    <row r="161" spans="1:50" s="110" customFormat="1" ht="17.25" customHeight="1">
      <c r="A161" s="111"/>
      <c r="B161" s="248"/>
      <c r="C161" s="112"/>
      <c r="D161" s="113"/>
      <c r="E161" s="239"/>
      <c r="F161" s="239"/>
      <c r="G161" s="239"/>
      <c r="H161" s="113"/>
      <c r="I161" s="113"/>
      <c r="J161" s="113"/>
      <c r="K161" s="113"/>
      <c r="L161" s="113"/>
      <c r="M161" s="239"/>
      <c r="N161" s="239"/>
      <c r="O161" s="239"/>
      <c r="P161" s="239"/>
      <c r="Q161" s="239"/>
      <c r="R161" s="239"/>
      <c r="S161" s="239"/>
      <c r="T161" s="169"/>
      <c r="U161" s="113"/>
      <c r="V161" s="169"/>
      <c r="W161" s="169"/>
      <c r="X161" s="169"/>
      <c r="Y161" s="169"/>
      <c r="Z161" s="169"/>
      <c r="AA161" s="169"/>
      <c r="AB161" s="169"/>
      <c r="AC161" s="169"/>
      <c r="AD161" s="169"/>
      <c r="AE161" s="169"/>
      <c r="AF161" s="169"/>
      <c r="AG161" s="169"/>
      <c r="AH161" s="169"/>
      <c r="AR161" s="114"/>
      <c r="AS161" s="114"/>
      <c r="AT161" s="114"/>
      <c r="AU161" s="114"/>
      <c r="AV161" s="114"/>
      <c r="AW161" s="114"/>
      <c r="AX161" s="114"/>
    </row>
    <row r="162" spans="1:50" s="110" customFormat="1" ht="17.25" customHeight="1">
      <c r="A162" s="111"/>
      <c r="B162" s="248"/>
      <c r="C162" s="112"/>
      <c r="D162" s="113"/>
      <c r="E162" s="239"/>
      <c r="F162" s="239"/>
      <c r="G162" s="239"/>
      <c r="H162" s="113"/>
      <c r="I162" s="113"/>
      <c r="J162" s="113"/>
      <c r="K162" s="113"/>
      <c r="L162" s="113"/>
      <c r="M162" s="239"/>
      <c r="N162" s="239"/>
      <c r="O162" s="239"/>
      <c r="P162" s="239"/>
      <c r="Q162" s="239"/>
      <c r="R162" s="239"/>
      <c r="S162" s="239"/>
      <c r="T162" s="169"/>
      <c r="U162" s="113"/>
      <c r="V162" s="169"/>
      <c r="W162" s="169"/>
      <c r="X162" s="169"/>
      <c r="Y162" s="169"/>
      <c r="Z162" s="169"/>
      <c r="AA162" s="169"/>
      <c r="AB162" s="169"/>
      <c r="AC162" s="169"/>
      <c r="AD162" s="169"/>
      <c r="AE162" s="169"/>
      <c r="AF162" s="169"/>
      <c r="AG162" s="169"/>
      <c r="AH162" s="169"/>
      <c r="AR162" s="114"/>
      <c r="AS162" s="114"/>
      <c r="AT162" s="114"/>
      <c r="AU162" s="114"/>
      <c r="AV162" s="114"/>
      <c r="AW162" s="114"/>
      <c r="AX162" s="114"/>
    </row>
    <row r="163" spans="1:50" s="110" customFormat="1" ht="17.25" customHeight="1">
      <c r="A163" s="111"/>
      <c r="B163" s="248"/>
      <c r="C163" s="112"/>
      <c r="D163" s="113"/>
      <c r="E163" s="239"/>
      <c r="F163" s="239"/>
      <c r="G163" s="239"/>
      <c r="H163" s="113"/>
      <c r="I163" s="113"/>
      <c r="J163" s="113"/>
      <c r="K163" s="113"/>
      <c r="L163" s="113"/>
      <c r="M163" s="239"/>
      <c r="N163" s="239"/>
      <c r="O163" s="239"/>
      <c r="P163" s="239"/>
      <c r="Q163" s="239"/>
      <c r="R163" s="239"/>
      <c r="S163" s="239"/>
      <c r="T163" s="169"/>
      <c r="U163" s="113"/>
      <c r="V163" s="169"/>
      <c r="W163" s="169"/>
      <c r="X163" s="169"/>
      <c r="Y163" s="169"/>
      <c r="Z163" s="169"/>
      <c r="AA163" s="169"/>
      <c r="AB163" s="169"/>
      <c r="AC163" s="169"/>
      <c r="AD163" s="169"/>
      <c r="AE163" s="169"/>
      <c r="AF163" s="169"/>
      <c r="AG163" s="169"/>
      <c r="AH163" s="169"/>
      <c r="AR163" s="114"/>
      <c r="AS163" s="114"/>
      <c r="AT163" s="114"/>
      <c r="AU163" s="114"/>
      <c r="AV163" s="114"/>
      <c r="AW163" s="114"/>
      <c r="AX163" s="114"/>
    </row>
    <row r="164" spans="1:50" s="110" customFormat="1" ht="17.25" customHeight="1">
      <c r="A164" s="111"/>
      <c r="B164" s="248"/>
      <c r="C164" s="112"/>
      <c r="D164" s="113"/>
      <c r="E164" s="239"/>
      <c r="F164" s="239"/>
      <c r="G164" s="239"/>
      <c r="H164" s="113"/>
      <c r="I164" s="113"/>
      <c r="J164" s="113"/>
      <c r="K164" s="113"/>
      <c r="L164" s="113"/>
      <c r="M164" s="239"/>
      <c r="N164" s="239"/>
      <c r="O164" s="239"/>
      <c r="P164" s="239"/>
      <c r="Q164" s="239"/>
      <c r="R164" s="239"/>
      <c r="S164" s="239"/>
      <c r="T164" s="169"/>
      <c r="U164" s="113"/>
      <c r="V164" s="169"/>
      <c r="W164" s="169"/>
      <c r="X164" s="169"/>
      <c r="Y164" s="169"/>
      <c r="Z164" s="169"/>
      <c r="AA164" s="169"/>
      <c r="AB164" s="169"/>
      <c r="AC164" s="169"/>
      <c r="AD164" s="169"/>
      <c r="AE164" s="169"/>
      <c r="AF164" s="169"/>
      <c r="AG164" s="169"/>
      <c r="AH164" s="169"/>
      <c r="AR164" s="114"/>
      <c r="AS164" s="114"/>
      <c r="AT164" s="114"/>
      <c r="AU164" s="114"/>
      <c r="AV164" s="114"/>
      <c r="AW164" s="114"/>
      <c r="AX164" s="114"/>
    </row>
    <row r="165" spans="1:50" s="110" customFormat="1" ht="17.25" customHeight="1">
      <c r="A165" s="111"/>
      <c r="B165" s="248"/>
      <c r="C165" s="112"/>
      <c r="D165" s="113"/>
      <c r="E165" s="239"/>
      <c r="F165" s="239"/>
      <c r="G165" s="239"/>
      <c r="H165" s="113"/>
      <c r="I165" s="113"/>
      <c r="J165" s="113"/>
      <c r="K165" s="113"/>
      <c r="L165" s="113"/>
      <c r="M165" s="239"/>
      <c r="N165" s="239"/>
      <c r="O165" s="239"/>
      <c r="P165" s="239"/>
      <c r="Q165" s="239"/>
      <c r="R165" s="239"/>
      <c r="S165" s="239"/>
      <c r="T165" s="169"/>
      <c r="U165" s="113"/>
      <c r="V165" s="169"/>
      <c r="W165" s="169"/>
      <c r="X165" s="169"/>
      <c r="Y165" s="169"/>
      <c r="Z165" s="169"/>
      <c r="AA165" s="169"/>
      <c r="AB165" s="169"/>
      <c r="AC165" s="169"/>
      <c r="AD165" s="169"/>
      <c r="AE165" s="169"/>
      <c r="AF165" s="169"/>
      <c r="AG165" s="169"/>
      <c r="AH165" s="169"/>
      <c r="AR165" s="114"/>
      <c r="AS165" s="114"/>
      <c r="AT165" s="114"/>
      <c r="AU165" s="114"/>
      <c r="AV165" s="114"/>
      <c r="AW165" s="114"/>
      <c r="AX165" s="114"/>
    </row>
    <row r="166" spans="1:50" s="110" customFormat="1" ht="17.25" customHeight="1">
      <c r="A166" s="111"/>
      <c r="B166" s="248"/>
      <c r="C166" s="112"/>
      <c r="D166" s="113"/>
      <c r="E166" s="239"/>
      <c r="F166" s="239"/>
      <c r="G166" s="239"/>
      <c r="H166" s="113"/>
      <c r="I166" s="113"/>
      <c r="J166" s="113"/>
      <c r="K166" s="113"/>
      <c r="L166" s="113"/>
      <c r="M166" s="239"/>
      <c r="N166" s="239"/>
      <c r="O166" s="239"/>
      <c r="P166" s="239"/>
      <c r="Q166" s="239"/>
      <c r="R166" s="239"/>
      <c r="S166" s="239"/>
      <c r="T166" s="169"/>
      <c r="U166" s="113"/>
      <c r="V166" s="169"/>
      <c r="W166" s="169"/>
      <c r="X166" s="169"/>
      <c r="Y166" s="169"/>
      <c r="Z166" s="169"/>
      <c r="AA166" s="169"/>
      <c r="AB166" s="169"/>
      <c r="AC166" s="169"/>
      <c r="AD166" s="169"/>
      <c r="AE166" s="169"/>
      <c r="AF166" s="169"/>
      <c r="AG166" s="169"/>
      <c r="AH166" s="169"/>
      <c r="AR166" s="114"/>
      <c r="AS166" s="114"/>
      <c r="AT166" s="114"/>
      <c r="AU166" s="114"/>
      <c r="AV166" s="114"/>
      <c r="AW166" s="114"/>
      <c r="AX166" s="114"/>
    </row>
    <row r="167" spans="1:50" s="110" customFormat="1">
      <c r="A167" s="111"/>
      <c r="B167" s="248"/>
      <c r="C167" s="112"/>
      <c r="D167" s="113"/>
      <c r="E167" s="239"/>
      <c r="F167" s="239"/>
      <c r="G167" s="239"/>
      <c r="H167" s="113"/>
      <c r="I167" s="113"/>
      <c r="J167" s="113"/>
      <c r="K167" s="113"/>
      <c r="L167" s="113"/>
      <c r="M167" s="239"/>
      <c r="N167" s="239"/>
      <c r="O167" s="239"/>
      <c r="P167" s="239"/>
      <c r="Q167" s="239"/>
      <c r="R167" s="239"/>
      <c r="S167" s="239"/>
      <c r="T167" s="169"/>
      <c r="U167" s="113"/>
      <c r="V167" s="247"/>
      <c r="W167" s="169"/>
      <c r="X167" s="169"/>
      <c r="Y167" s="169"/>
      <c r="Z167" s="169"/>
      <c r="AA167" s="247"/>
      <c r="AB167" s="247"/>
      <c r="AC167" s="247"/>
      <c r="AD167" s="247"/>
      <c r="AE167" s="247"/>
      <c r="AF167" s="247"/>
      <c r="AG167" s="247"/>
      <c r="AH167" s="247"/>
      <c r="AR167" s="114"/>
      <c r="AS167" s="114"/>
      <c r="AT167" s="114"/>
      <c r="AU167" s="114"/>
      <c r="AV167" s="114"/>
      <c r="AW167" s="114"/>
      <c r="AX167" s="114"/>
    </row>
    <row r="168" spans="1:50" customFormat="1" ht="27.95" customHeight="1">
      <c r="E168" s="1"/>
      <c r="F168" s="1"/>
      <c r="G168" s="1"/>
      <c r="T168" s="52"/>
      <c r="V168" s="52"/>
      <c r="W168" s="52"/>
      <c r="X168" s="52"/>
      <c r="Y168" s="52"/>
      <c r="Z168" s="52"/>
      <c r="AA168" s="52"/>
      <c r="AB168" s="52"/>
      <c r="AC168" s="52"/>
      <c r="AD168" s="52"/>
      <c r="AE168" s="52"/>
      <c r="AF168" s="52"/>
      <c r="AG168" s="52"/>
      <c r="AH168" s="52"/>
      <c r="AR168" s="14"/>
      <c r="AS168" s="14"/>
      <c r="AT168" s="14"/>
      <c r="AU168" s="14"/>
      <c r="AV168" s="14"/>
      <c r="AW168" s="14"/>
      <c r="AX168" s="14"/>
    </row>
    <row r="169" spans="1:50" customFormat="1">
      <c r="E169" s="1"/>
      <c r="F169" s="1"/>
      <c r="G169" s="1"/>
      <c r="T169" s="52"/>
      <c r="V169" s="52"/>
      <c r="W169" s="52"/>
      <c r="X169" s="52"/>
      <c r="Y169" s="52"/>
      <c r="Z169" s="52"/>
      <c r="AA169" s="52"/>
      <c r="AB169" s="52"/>
      <c r="AC169" s="52"/>
      <c r="AD169" s="52"/>
      <c r="AE169" s="52"/>
      <c r="AF169" s="52"/>
      <c r="AG169" s="52"/>
      <c r="AH169" s="52"/>
      <c r="AR169" s="14"/>
      <c r="AS169" s="14"/>
      <c r="AT169" s="14"/>
      <c r="AU169" s="14"/>
      <c r="AV169" s="14"/>
      <c r="AW169" s="14"/>
      <c r="AX169" s="14"/>
    </row>
    <row r="170" spans="1:50" customFormat="1">
      <c r="E170" s="1"/>
      <c r="F170" s="1"/>
      <c r="G170" s="1"/>
      <c r="T170" s="52"/>
      <c r="V170" s="52"/>
      <c r="W170" s="52"/>
      <c r="X170" s="52"/>
      <c r="Y170" s="52"/>
      <c r="Z170" s="52"/>
      <c r="AA170" s="52"/>
      <c r="AB170" s="52"/>
      <c r="AC170" s="52"/>
      <c r="AD170" s="52"/>
      <c r="AE170" s="52"/>
      <c r="AF170" s="52"/>
      <c r="AG170" s="52"/>
      <c r="AH170" s="52"/>
      <c r="AR170" s="14"/>
      <c r="AS170" s="14"/>
      <c r="AT170" s="14"/>
      <c r="AU170" s="14"/>
      <c r="AV170" s="14"/>
      <c r="AW170" s="14"/>
      <c r="AX170" s="14"/>
    </row>
    <row r="171" spans="1:50" customFormat="1">
      <c r="E171" s="1"/>
      <c r="F171" s="1"/>
      <c r="G171" s="1"/>
      <c r="T171" s="52"/>
      <c r="V171" s="52"/>
      <c r="W171" s="52"/>
      <c r="X171" s="52"/>
      <c r="Y171" s="52"/>
      <c r="Z171" s="52"/>
      <c r="AA171" s="52"/>
      <c r="AB171" s="52"/>
      <c r="AC171" s="52"/>
      <c r="AD171" s="52"/>
      <c r="AE171" s="52"/>
      <c r="AF171" s="52"/>
      <c r="AG171" s="52"/>
      <c r="AH171" s="52"/>
      <c r="AR171" s="14"/>
      <c r="AS171" s="14"/>
      <c r="AT171" s="14"/>
      <c r="AU171" s="14"/>
      <c r="AV171" s="14"/>
      <c r="AW171" s="14"/>
      <c r="AX171" s="14"/>
    </row>
    <row r="172" spans="1:50" customFormat="1">
      <c r="E172" s="1"/>
      <c r="F172" s="1"/>
      <c r="G172" s="1"/>
      <c r="T172" s="52"/>
      <c r="V172" s="52"/>
      <c r="W172" s="52"/>
      <c r="X172" s="52"/>
      <c r="Y172" s="52"/>
      <c r="Z172" s="52"/>
      <c r="AA172" s="52"/>
      <c r="AB172" s="52"/>
      <c r="AC172" s="52"/>
      <c r="AD172" s="52"/>
      <c r="AE172" s="52"/>
      <c r="AF172" s="52"/>
      <c r="AG172" s="52"/>
      <c r="AH172" s="52"/>
      <c r="AR172" s="14"/>
      <c r="AS172" s="14"/>
      <c r="AT172" s="14"/>
      <c r="AU172" s="14"/>
      <c r="AV172" s="14"/>
      <c r="AW172" s="14"/>
      <c r="AX172" s="14"/>
    </row>
    <row r="173" spans="1:50" customFormat="1">
      <c r="E173" s="1"/>
      <c r="F173" s="1"/>
      <c r="G173" s="1"/>
      <c r="T173" s="52"/>
      <c r="V173" s="52"/>
      <c r="W173" s="52"/>
      <c r="X173" s="52"/>
      <c r="Y173" s="52"/>
      <c r="Z173" s="52"/>
      <c r="AA173" s="52"/>
      <c r="AB173" s="52"/>
      <c r="AC173" s="52"/>
      <c r="AD173" s="52"/>
      <c r="AE173" s="52"/>
      <c r="AF173" s="52"/>
      <c r="AG173" s="52"/>
      <c r="AH173" s="52"/>
      <c r="AR173" s="14"/>
      <c r="AS173" s="14"/>
      <c r="AT173" s="14"/>
      <c r="AU173" s="14"/>
      <c r="AV173" s="14"/>
      <c r="AW173" s="14"/>
      <c r="AX173" s="14"/>
    </row>
    <row r="174" spans="1:50" customFormat="1">
      <c r="E174" s="1"/>
      <c r="F174" s="1"/>
      <c r="G174" s="1"/>
      <c r="T174" s="52"/>
      <c r="V174" s="52"/>
      <c r="W174" s="52"/>
      <c r="X174" s="52"/>
      <c r="Y174" s="52"/>
      <c r="Z174" s="52"/>
      <c r="AA174" s="52"/>
      <c r="AB174" s="52"/>
      <c r="AC174" s="52"/>
      <c r="AD174" s="52"/>
      <c r="AE174" s="52"/>
      <c r="AF174" s="52"/>
      <c r="AG174" s="52"/>
      <c r="AH174" s="52"/>
      <c r="AR174" s="14"/>
      <c r="AS174" s="14"/>
      <c r="AT174" s="14"/>
      <c r="AU174" s="14"/>
      <c r="AV174" s="14"/>
      <c r="AW174" s="14"/>
      <c r="AX174" s="14"/>
    </row>
    <row r="175" spans="1:50" customFormat="1">
      <c r="E175" s="1"/>
      <c r="F175" s="1"/>
      <c r="G175" s="1"/>
      <c r="T175" s="52"/>
      <c r="V175" s="52"/>
      <c r="W175" s="52"/>
      <c r="X175" s="52"/>
      <c r="Y175" s="52"/>
      <c r="Z175" s="52"/>
      <c r="AA175" s="52"/>
      <c r="AB175" s="52"/>
      <c r="AC175" s="52"/>
      <c r="AD175" s="52"/>
      <c r="AE175" s="52"/>
      <c r="AF175" s="52"/>
      <c r="AG175" s="52"/>
      <c r="AH175" s="52"/>
      <c r="AR175" s="14"/>
      <c r="AS175" s="14"/>
      <c r="AT175" s="14"/>
      <c r="AU175" s="14"/>
      <c r="AV175" s="14"/>
      <c r="AW175" s="14"/>
      <c r="AX175" s="14"/>
    </row>
    <row r="176" spans="1:50" customFormat="1">
      <c r="E176" s="1"/>
      <c r="F176" s="1"/>
      <c r="G176" s="1"/>
      <c r="T176" s="52"/>
      <c r="V176" s="52"/>
      <c r="W176" s="52"/>
      <c r="X176" s="52"/>
      <c r="Y176" s="52"/>
      <c r="Z176" s="52"/>
      <c r="AA176" s="52"/>
      <c r="AB176" s="52"/>
      <c r="AC176" s="52"/>
      <c r="AD176" s="52"/>
      <c r="AE176" s="52"/>
      <c r="AF176" s="52"/>
      <c r="AG176" s="52"/>
      <c r="AH176" s="52"/>
      <c r="AR176" s="14"/>
      <c r="AS176" s="14"/>
      <c r="AT176" s="14"/>
      <c r="AU176" s="14"/>
      <c r="AV176" s="14"/>
      <c r="AW176" s="14"/>
      <c r="AX176" s="14"/>
    </row>
    <row r="177" spans="5:50" customFormat="1">
      <c r="E177" s="1"/>
      <c r="F177" s="1"/>
      <c r="G177" s="1"/>
      <c r="T177" s="52"/>
      <c r="V177" s="52"/>
      <c r="W177" s="52"/>
      <c r="X177" s="52"/>
      <c r="Y177" s="52"/>
      <c r="Z177" s="52"/>
      <c r="AA177" s="52"/>
      <c r="AB177" s="52"/>
      <c r="AC177" s="52"/>
      <c r="AD177" s="52"/>
      <c r="AE177" s="52"/>
      <c r="AF177" s="52"/>
      <c r="AG177" s="52"/>
      <c r="AH177" s="52"/>
      <c r="AR177" s="14"/>
      <c r="AS177" s="14"/>
      <c r="AT177" s="14"/>
      <c r="AU177" s="14"/>
      <c r="AV177" s="14"/>
      <c r="AW177" s="14"/>
      <c r="AX177" s="14"/>
    </row>
    <row r="178" spans="5:50" customFormat="1">
      <c r="E178" s="1"/>
      <c r="F178" s="1"/>
      <c r="G178" s="1"/>
      <c r="T178" s="52"/>
      <c r="V178" s="52"/>
      <c r="W178" s="52"/>
      <c r="X178" s="52"/>
      <c r="Y178" s="52"/>
      <c r="Z178" s="52"/>
      <c r="AA178" s="52"/>
      <c r="AB178" s="52"/>
      <c r="AC178" s="52"/>
      <c r="AD178" s="52"/>
      <c r="AE178" s="52"/>
      <c r="AF178" s="52"/>
      <c r="AG178" s="52"/>
      <c r="AH178" s="52"/>
      <c r="AR178" s="14"/>
      <c r="AS178" s="14"/>
      <c r="AT178" s="14"/>
      <c r="AU178" s="14"/>
      <c r="AV178" s="14"/>
      <c r="AW178" s="14"/>
      <c r="AX178" s="14"/>
    </row>
    <row r="179" spans="5:50" customFormat="1">
      <c r="E179" s="1"/>
      <c r="F179" s="1"/>
      <c r="G179" s="1"/>
      <c r="T179" s="52"/>
      <c r="V179" s="52"/>
      <c r="W179" s="52"/>
      <c r="X179" s="52"/>
      <c r="Y179" s="52"/>
      <c r="Z179" s="52"/>
      <c r="AA179" s="52"/>
      <c r="AB179" s="52"/>
      <c r="AC179" s="52"/>
      <c r="AD179" s="52"/>
      <c r="AE179" s="52"/>
      <c r="AF179" s="52"/>
      <c r="AG179" s="52"/>
      <c r="AH179" s="52"/>
      <c r="AR179" s="14"/>
      <c r="AS179" s="14"/>
      <c r="AT179" s="14"/>
      <c r="AU179" s="14"/>
      <c r="AV179" s="14"/>
      <c r="AW179" s="14"/>
      <c r="AX179" s="14"/>
    </row>
    <row r="180" spans="5:50" customFormat="1">
      <c r="E180" s="1"/>
      <c r="F180" s="1"/>
      <c r="G180" s="1"/>
      <c r="T180" s="52"/>
      <c r="V180" s="52"/>
      <c r="W180" s="52"/>
      <c r="X180" s="52"/>
      <c r="Y180" s="52"/>
      <c r="Z180" s="52"/>
      <c r="AA180" s="52"/>
      <c r="AB180" s="52"/>
      <c r="AC180" s="52"/>
      <c r="AD180" s="52"/>
      <c r="AE180" s="52"/>
      <c r="AF180" s="52"/>
      <c r="AG180" s="52"/>
      <c r="AH180" s="52"/>
      <c r="AR180" s="14"/>
      <c r="AS180" s="14"/>
      <c r="AT180" s="14"/>
      <c r="AU180" s="14"/>
      <c r="AV180" s="14"/>
      <c r="AW180" s="14"/>
      <c r="AX180" s="14"/>
    </row>
    <row r="181" spans="5:50" customFormat="1">
      <c r="E181" s="1"/>
      <c r="F181" s="1"/>
      <c r="G181" s="1"/>
      <c r="T181" s="52"/>
      <c r="V181" s="52"/>
      <c r="W181" s="52"/>
      <c r="X181" s="52"/>
      <c r="Y181" s="52"/>
      <c r="Z181" s="52"/>
      <c r="AA181" s="52"/>
      <c r="AB181" s="52"/>
      <c r="AC181" s="52"/>
      <c r="AD181" s="52"/>
      <c r="AE181" s="52"/>
      <c r="AF181" s="52"/>
      <c r="AG181" s="52"/>
      <c r="AH181" s="52"/>
      <c r="AR181" s="14"/>
      <c r="AS181" s="14"/>
      <c r="AT181" s="14"/>
      <c r="AU181" s="14"/>
      <c r="AV181" s="14"/>
      <c r="AW181" s="14"/>
      <c r="AX181" s="14"/>
    </row>
    <row r="182" spans="5:50" customFormat="1">
      <c r="E182" s="1"/>
      <c r="F182" s="1"/>
      <c r="G182" s="1"/>
      <c r="T182" s="52"/>
      <c r="V182" s="52"/>
      <c r="W182" s="52"/>
      <c r="X182" s="52"/>
      <c r="Y182" s="52"/>
      <c r="Z182" s="52"/>
      <c r="AA182" s="52"/>
      <c r="AB182" s="52"/>
      <c r="AC182" s="52"/>
      <c r="AD182" s="52"/>
      <c r="AE182" s="52"/>
      <c r="AF182" s="52"/>
      <c r="AG182" s="52"/>
      <c r="AH182" s="52"/>
      <c r="AR182" s="14"/>
      <c r="AS182" s="14"/>
      <c r="AT182" s="14"/>
      <c r="AU182" s="14"/>
      <c r="AV182" s="14"/>
      <c r="AW182" s="14"/>
      <c r="AX182" s="14"/>
    </row>
    <row r="183" spans="5:50" customFormat="1">
      <c r="E183" s="1"/>
      <c r="F183" s="1"/>
      <c r="G183" s="1"/>
      <c r="T183" s="52"/>
      <c r="V183" s="52"/>
      <c r="W183" s="52"/>
      <c r="X183" s="52"/>
      <c r="Y183" s="52"/>
      <c r="Z183" s="52"/>
      <c r="AA183" s="52"/>
      <c r="AB183" s="52"/>
      <c r="AC183" s="52"/>
      <c r="AD183" s="52"/>
      <c r="AE183" s="52"/>
      <c r="AF183" s="52"/>
      <c r="AG183" s="52"/>
      <c r="AH183" s="52"/>
      <c r="AR183" s="14"/>
      <c r="AS183" s="14"/>
      <c r="AT183" s="14"/>
      <c r="AU183" s="14"/>
      <c r="AV183" s="14"/>
      <c r="AW183" s="14"/>
      <c r="AX183" s="14"/>
    </row>
    <row r="184" spans="5:50" customFormat="1">
      <c r="E184" s="1"/>
      <c r="F184" s="1"/>
      <c r="G184" s="1"/>
      <c r="T184" s="52"/>
      <c r="V184" s="52"/>
      <c r="W184" s="52"/>
      <c r="X184" s="52"/>
      <c r="Y184" s="52"/>
      <c r="Z184" s="52"/>
      <c r="AA184" s="52"/>
      <c r="AB184" s="52"/>
      <c r="AC184" s="52"/>
      <c r="AD184" s="52"/>
      <c r="AE184" s="52"/>
      <c r="AF184" s="52"/>
      <c r="AG184" s="52"/>
      <c r="AH184" s="52"/>
      <c r="AR184" s="14"/>
      <c r="AS184" s="14"/>
      <c r="AT184" s="14"/>
      <c r="AU184" s="14"/>
      <c r="AV184" s="14"/>
      <c r="AW184" s="14"/>
      <c r="AX184" s="14"/>
    </row>
    <row r="185" spans="5:50" customFormat="1">
      <c r="E185" s="1"/>
      <c r="F185" s="1"/>
      <c r="G185" s="1"/>
      <c r="T185" s="52"/>
      <c r="V185" s="52"/>
      <c r="W185" s="52"/>
      <c r="X185" s="52"/>
      <c r="Y185" s="52"/>
      <c r="Z185" s="52"/>
      <c r="AA185" s="52"/>
      <c r="AB185" s="52"/>
      <c r="AC185" s="52"/>
      <c r="AD185" s="52"/>
      <c r="AE185" s="52"/>
      <c r="AF185" s="52"/>
      <c r="AG185" s="52"/>
      <c r="AH185" s="52"/>
      <c r="AR185" s="14"/>
      <c r="AS185" s="14"/>
      <c r="AT185" s="14"/>
      <c r="AU185" s="14"/>
      <c r="AV185" s="14"/>
      <c r="AW185" s="14"/>
      <c r="AX185" s="14"/>
    </row>
    <row r="186" spans="5:50" customFormat="1">
      <c r="E186" s="1"/>
      <c r="F186" s="1"/>
      <c r="G186" s="1"/>
      <c r="T186" s="52"/>
      <c r="V186" s="52"/>
      <c r="W186" s="52"/>
      <c r="X186" s="52"/>
      <c r="Y186" s="52"/>
      <c r="Z186" s="52"/>
      <c r="AA186" s="52"/>
      <c r="AB186" s="52"/>
      <c r="AC186" s="52"/>
      <c r="AD186" s="52"/>
      <c r="AE186" s="52"/>
      <c r="AF186" s="52"/>
      <c r="AG186" s="52"/>
      <c r="AH186" s="52"/>
      <c r="AR186" s="14"/>
      <c r="AS186" s="14"/>
      <c r="AT186" s="14"/>
      <c r="AU186" s="14"/>
      <c r="AV186" s="14"/>
      <c r="AW186" s="14"/>
      <c r="AX186" s="14"/>
    </row>
    <row r="187" spans="5:50" customFormat="1">
      <c r="E187" s="1"/>
      <c r="F187" s="1"/>
      <c r="G187" s="1"/>
      <c r="T187" s="52"/>
      <c r="V187" s="52"/>
      <c r="W187" s="52"/>
      <c r="X187" s="52"/>
      <c r="Y187" s="52"/>
      <c r="Z187" s="52"/>
      <c r="AA187" s="52"/>
      <c r="AB187" s="52"/>
      <c r="AC187" s="52"/>
      <c r="AD187" s="52"/>
      <c r="AE187" s="52"/>
      <c r="AF187" s="52"/>
      <c r="AG187" s="52"/>
      <c r="AH187" s="52"/>
      <c r="AR187" s="14"/>
      <c r="AS187" s="14"/>
      <c r="AT187" s="14"/>
      <c r="AU187" s="14"/>
      <c r="AV187" s="14"/>
      <c r="AW187" s="14"/>
      <c r="AX187" s="14"/>
    </row>
    <row r="188" spans="5:50" customFormat="1">
      <c r="E188" s="1"/>
      <c r="F188" s="1"/>
      <c r="G188" s="1"/>
      <c r="T188" s="52"/>
      <c r="V188" s="52"/>
      <c r="W188" s="52"/>
      <c r="X188" s="52"/>
      <c r="Y188" s="52"/>
      <c r="Z188" s="52"/>
      <c r="AA188" s="52"/>
      <c r="AB188" s="52"/>
      <c r="AC188" s="52"/>
      <c r="AD188" s="52"/>
      <c r="AE188" s="52"/>
      <c r="AF188" s="52"/>
      <c r="AG188" s="52"/>
      <c r="AH188" s="52"/>
      <c r="AR188" s="14"/>
      <c r="AS188" s="14"/>
      <c r="AT188" s="14"/>
      <c r="AU188" s="14"/>
      <c r="AV188" s="14"/>
      <c r="AW188" s="14"/>
      <c r="AX188" s="14"/>
    </row>
    <row r="189" spans="5:50" customFormat="1">
      <c r="E189" s="1"/>
      <c r="F189" s="1"/>
      <c r="G189" s="1"/>
      <c r="T189" s="52"/>
      <c r="V189" s="52"/>
      <c r="W189" s="52"/>
      <c r="X189" s="52"/>
      <c r="Y189" s="52"/>
      <c r="Z189" s="52"/>
      <c r="AA189" s="52"/>
      <c r="AB189" s="52"/>
      <c r="AC189" s="52"/>
      <c r="AD189" s="52"/>
      <c r="AE189" s="52"/>
      <c r="AF189" s="52"/>
      <c r="AG189" s="52"/>
      <c r="AH189" s="52"/>
      <c r="AR189" s="14"/>
      <c r="AS189" s="14"/>
      <c r="AT189" s="14"/>
      <c r="AU189" s="14"/>
      <c r="AV189" s="14"/>
      <c r="AW189" s="14"/>
      <c r="AX189" s="14"/>
    </row>
    <row r="190" spans="5:50" customFormat="1">
      <c r="E190" s="1"/>
      <c r="F190" s="1"/>
      <c r="G190" s="1"/>
      <c r="T190" s="52"/>
      <c r="V190" s="52"/>
      <c r="W190" s="52"/>
      <c r="X190" s="52"/>
      <c r="Y190" s="52"/>
      <c r="Z190" s="52"/>
      <c r="AA190" s="52"/>
      <c r="AB190" s="52"/>
      <c r="AC190" s="52"/>
      <c r="AD190" s="52"/>
      <c r="AE190" s="52"/>
      <c r="AF190" s="52"/>
      <c r="AG190" s="52"/>
      <c r="AH190" s="52"/>
      <c r="AR190" s="14"/>
      <c r="AS190" s="14"/>
      <c r="AT190" s="14"/>
      <c r="AU190" s="14"/>
      <c r="AV190" s="14"/>
      <c r="AW190" s="14"/>
      <c r="AX190" s="14"/>
    </row>
    <row r="191" spans="5:50" customFormat="1">
      <c r="E191" s="1"/>
      <c r="F191" s="1"/>
      <c r="G191" s="1"/>
      <c r="T191" s="52"/>
      <c r="V191" s="52"/>
      <c r="W191" s="52"/>
      <c r="X191" s="52"/>
      <c r="Y191" s="52"/>
      <c r="Z191" s="52"/>
      <c r="AA191" s="52"/>
      <c r="AB191" s="52"/>
      <c r="AC191" s="52"/>
      <c r="AD191" s="52"/>
      <c r="AE191" s="52"/>
      <c r="AF191" s="52"/>
      <c r="AG191" s="52"/>
      <c r="AH191" s="52"/>
      <c r="AR191" s="14"/>
      <c r="AS191" s="14"/>
      <c r="AT191" s="14"/>
      <c r="AU191" s="14"/>
      <c r="AV191" s="14"/>
      <c r="AW191" s="14"/>
      <c r="AX191" s="14"/>
    </row>
    <row r="192" spans="5:50" customFormat="1">
      <c r="E192" s="1"/>
      <c r="F192" s="1"/>
      <c r="G192" s="1"/>
      <c r="T192" s="52"/>
      <c r="V192" s="52"/>
      <c r="W192" s="52"/>
      <c r="X192" s="52"/>
      <c r="Y192" s="52"/>
      <c r="Z192" s="52"/>
      <c r="AA192" s="52"/>
      <c r="AB192" s="52"/>
      <c r="AC192" s="52"/>
      <c r="AD192" s="52"/>
      <c r="AE192" s="52"/>
      <c r="AF192" s="52"/>
      <c r="AG192" s="52"/>
      <c r="AH192" s="52"/>
      <c r="AR192" s="14"/>
      <c r="AS192" s="14"/>
      <c r="AT192" s="14"/>
      <c r="AU192" s="14"/>
      <c r="AV192" s="14"/>
      <c r="AW192" s="14"/>
      <c r="AX192" s="14"/>
    </row>
    <row r="193" spans="5:50" customFormat="1">
      <c r="E193" s="1"/>
      <c r="F193" s="1"/>
      <c r="G193" s="1"/>
      <c r="T193" s="52"/>
      <c r="V193" s="52"/>
      <c r="W193" s="52"/>
      <c r="X193" s="52"/>
      <c r="Y193" s="52"/>
      <c r="Z193" s="52"/>
      <c r="AA193" s="52"/>
      <c r="AB193" s="52"/>
      <c r="AC193" s="52"/>
      <c r="AD193" s="52"/>
      <c r="AE193" s="52"/>
      <c r="AF193" s="52"/>
      <c r="AG193" s="52"/>
      <c r="AH193" s="52"/>
      <c r="AR193" s="14"/>
      <c r="AS193" s="14"/>
      <c r="AT193" s="14"/>
      <c r="AU193" s="14"/>
      <c r="AV193" s="14"/>
      <c r="AW193" s="14"/>
      <c r="AX193" s="14"/>
    </row>
    <row r="194" spans="5:50" customFormat="1">
      <c r="E194" s="1"/>
      <c r="F194" s="1"/>
      <c r="G194" s="1"/>
      <c r="T194" s="52"/>
      <c r="V194" s="52"/>
      <c r="W194" s="52"/>
      <c r="X194" s="52"/>
      <c r="Y194" s="52"/>
      <c r="Z194" s="52"/>
      <c r="AA194" s="52"/>
      <c r="AB194" s="52"/>
      <c r="AC194" s="52"/>
      <c r="AD194" s="52"/>
      <c r="AE194" s="52"/>
      <c r="AF194" s="52"/>
      <c r="AG194" s="52"/>
      <c r="AH194" s="52"/>
      <c r="AR194" s="14"/>
      <c r="AS194" s="14"/>
      <c r="AT194" s="14"/>
      <c r="AU194" s="14"/>
      <c r="AV194" s="14"/>
      <c r="AW194" s="14"/>
      <c r="AX194" s="14"/>
    </row>
    <row r="195" spans="5:50" customFormat="1">
      <c r="E195" s="1"/>
      <c r="F195" s="1"/>
      <c r="G195" s="1"/>
      <c r="T195" s="52"/>
      <c r="V195" s="52"/>
      <c r="W195" s="52"/>
      <c r="X195" s="52"/>
      <c r="Y195" s="52"/>
      <c r="Z195" s="52"/>
      <c r="AA195" s="52"/>
      <c r="AB195" s="52"/>
      <c r="AC195" s="52"/>
      <c r="AD195" s="52"/>
      <c r="AE195" s="52"/>
      <c r="AF195" s="52"/>
      <c r="AG195" s="52"/>
      <c r="AH195" s="52"/>
      <c r="AR195" s="14"/>
      <c r="AS195" s="14"/>
      <c r="AT195" s="14"/>
      <c r="AU195" s="14"/>
      <c r="AV195" s="14"/>
      <c r="AW195" s="14"/>
      <c r="AX195" s="14"/>
    </row>
    <row r="196" spans="5:50" customFormat="1">
      <c r="E196" s="1"/>
      <c r="F196" s="1"/>
      <c r="G196" s="1"/>
      <c r="T196" s="52"/>
      <c r="V196" s="52"/>
      <c r="W196" s="52"/>
      <c r="X196" s="52"/>
      <c r="Y196" s="52"/>
      <c r="Z196" s="52"/>
      <c r="AA196" s="52"/>
      <c r="AB196" s="52"/>
      <c r="AC196" s="52"/>
      <c r="AD196" s="52"/>
      <c r="AE196" s="52"/>
      <c r="AF196" s="52"/>
      <c r="AG196" s="52"/>
      <c r="AH196" s="52"/>
      <c r="AR196" s="14"/>
      <c r="AS196" s="14"/>
      <c r="AT196" s="14"/>
      <c r="AU196" s="14"/>
      <c r="AV196" s="14"/>
      <c r="AW196" s="14"/>
      <c r="AX196" s="14"/>
    </row>
    <row r="197" spans="5:50" customFormat="1">
      <c r="E197" s="1"/>
      <c r="F197" s="1"/>
      <c r="G197" s="1"/>
      <c r="T197" s="52"/>
      <c r="V197" s="52"/>
      <c r="W197" s="52"/>
      <c r="X197" s="52"/>
      <c r="Y197" s="52"/>
      <c r="Z197" s="52"/>
      <c r="AA197" s="52"/>
      <c r="AB197" s="52"/>
      <c r="AC197" s="52"/>
      <c r="AD197" s="52"/>
      <c r="AE197" s="52"/>
      <c r="AF197" s="52"/>
      <c r="AG197" s="52"/>
      <c r="AH197" s="52"/>
      <c r="AR197" s="14"/>
      <c r="AS197" s="14"/>
      <c r="AT197" s="14"/>
      <c r="AU197" s="14"/>
      <c r="AV197" s="14"/>
      <c r="AW197" s="14"/>
      <c r="AX197" s="14"/>
    </row>
    <row r="198" spans="5:50" customFormat="1">
      <c r="E198" s="1"/>
      <c r="F198" s="1"/>
      <c r="G198" s="1"/>
      <c r="T198" s="52"/>
      <c r="V198" s="52"/>
      <c r="W198" s="52"/>
      <c r="X198" s="52"/>
      <c r="Y198" s="52"/>
      <c r="Z198" s="52"/>
      <c r="AA198" s="52"/>
      <c r="AB198" s="52"/>
      <c r="AC198" s="52"/>
      <c r="AD198" s="52"/>
      <c r="AE198" s="52"/>
      <c r="AF198" s="52"/>
      <c r="AG198" s="52"/>
      <c r="AH198" s="52"/>
      <c r="AR198" s="14"/>
      <c r="AS198" s="14"/>
      <c r="AT198" s="14"/>
      <c r="AU198" s="14"/>
      <c r="AV198" s="14"/>
      <c r="AW198" s="14"/>
      <c r="AX198" s="14"/>
    </row>
    <row r="199" spans="5:50" customFormat="1">
      <c r="E199" s="1"/>
      <c r="F199" s="1"/>
      <c r="G199" s="1"/>
      <c r="T199" s="52"/>
      <c r="V199" s="52"/>
      <c r="W199" s="52"/>
      <c r="X199" s="52"/>
      <c r="Y199" s="52"/>
      <c r="Z199" s="52"/>
      <c r="AA199" s="52"/>
      <c r="AB199" s="52"/>
      <c r="AC199" s="52"/>
      <c r="AD199" s="52"/>
      <c r="AE199" s="52"/>
      <c r="AF199" s="52"/>
      <c r="AG199" s="52"/>
      <c r="AH199" s="52"/>
      <c r="AR199" s="14"/>
      <c r="AS199" s="14"/>
      <c r="AT199" s="14"/>
      <c r="AU199" s="14"/>
      <c r="AV199" s="14"/>
      <c r="AW199" s="14"/>
      <c r="AX199" s="14"/>
    </row>
    <row r="200" spans="5:50" customFormat="1">
      <c r="E200" s="1"/>
      <c r="F200" s="1"/>
      <c r="G200" s="1"/>
      <c r="T200" s="52"/>
      <c r="V200" s="52"/>
      <c r="W200" s="52"/>
      <c r="X200" s="52"/>
      <c r="Y200" s="52"/>
      <c r="Z200" s="52"/>
      <c r="AA200" s="52"/>
      <c r="AB200" s="52"/>
      <c r="AC200" s="52"/>
      <c r="AD200" s="52"/>
      <c r="AE200" s="52"/>
      <c r="AF200" s="52"/>
      <c r="AG200" s="52"/>
      <c r="AH200" s="52"/>
      <c r="AR200" s="14"/>
      <c r="AS200" s="14"/>
      <c r="AT200" s="14"/>
      <c r="AU200" s="14"/>
      <c r="AV200" s="14"/>
      <c r="AW200" s="14"/>
      <c r="AX200" s="14"/>
    </row>
    <row r="201" spans="5:50" customFormat="1">
      <c r="E201" s="1"/>
      <c r="F201" s="1"/>
      <c r="G201" s="1"/>
      <c r="T201" s="52"/>
      <c r="V201" s="52"/>
      <c r="W201" s="52"/>
      <c r="X201" s="52"/>
      <c r="Y201" s="52"/>
      <c r="Z201" s="52"/>
      <c r="AA201" s="52"/>
      <c r="AB201" s="52"/>
      <c r="AC201" s="52"/>
      <c r="AD201" s="52"/>
      <c r="AE201" s="52"/>
      <c r="AF201" s="52"/>
      <c r="AG201" s="52"/>
      <c r="AH201" s="52"/>
      <c r="AR201" s="14"/>
      <c r="AS201" s="14"/>
      <c r="AT201" s="14"/>
      <c r="AU201" s="14"/>
      <c r="AV201" s="14"/>
      <c r="AW201" s="14"/>
      <c r="AX201" s="14"/>
    </row>
    <row r="202" spans="5:50" customFormat="1">
      <c r="E202" s="1"/>
      <c r="F202" s="1"/>
      <c r="G202" s="1"/>
      <c r="T202" s="52"/>
      <c r="V202" s="52"/>
      <c r="W202" s="52"/>
      <c r="X202" s="52"/>
      <c r="Y202" s="52"/>
      <c r="Z202" s="52"/>
      <c r="AA202" s="52"/>
      <c r="AB202" s="52"/>
      <c r="AC202" s="52"/>
      <c r="AD202" s="52"/>
      <c r="AE202" s="52"/>
      <c r="AF202" s="52"/>
      <c r="AG202" s="52"/>
      <c r="AH202" s="52"/>
      <c r="AR202" s="14"/>
      <c r="AS202" s="14"/>
      <c r="AT202" s="14"/>
      <c r="AU202" s="14"/>
      <c r="AV202" s="14"/>
      <c r="AW202" s="14"/>
      <c r="AX202" s="14"/>
    </row>
    <row r="203" spans="5:50" customFormat="1">
      <c r="E203" s="1"/>
      <c r="F203" s="1"/>
      <c r="G203" s="1"/>
      <c r="T203" s="52"/>
      <c r="V203" s="52"/>
      <c r="W203" s="52"/>
      <c r="X203" s="52"/>
      <c r="Y203" s="52"/>
      <c r="Z203" s="52"/>
      <c r="AA203" s="52"/>
      <c r="AB203" s="52"/>
      <c r="AC203" s="52"/>
      <c r="AD203" s="52"/>
      <c r="AE203" s="52"/>
      <c r="AF203" s="52"/>
      <c r="AG203" s="52"/>
      <c r="AH203" s="52"/>
      <c r="AR203" s="14"/>
      <c r="AS203" s="14"/>
      <c r="AT203" s="14"/>
      <c r="AU203" s="14"/>
      <c r="AV203" s="14"/>
      <c r="AW203" s="14"/>
      <c r="AX203" s="14"/>
    </row>
    <row r="204" spans="5:50" customFormat="1">
      <c r="E204" s="1"/>
      <c r="F204" s="1"/>
      <c r="G204" s="1"/>
      <c r="T204" s="52"/>
      <c r="V204" s="52"/>
      <c r="W204" s="52"/>
      <c r="X204" s="52"/>
      <c r="Y204" s="52"/>
      <c r="Z204" s="52"/>
      <c r="AA204" s="52"/>
      <c r="AB204" s="52"/>
      <c r="AC204" s="52"/>
      <c r="AD204" s="52"/>
      <c r="AE204" s="52"/>
      <c r="AF204" s="52"/>
      <c r="AG204" s="52"/>
      <c r="AH204" s="52"/>
      <c r="AR204" s="14"/>
      <c r="AS204" s="14"/>
      <c r="AT204" s="14"/>
      <c r="AU204" s="14"/>
      <c r="AV204" s="14"/>
      <c r="AW204" s="14"/>
      <c r="AX204" s="14"/>
    </row>
    <row r="205" spans="5:50" customFormat="1">
      <c r="E205" s="1"/>
      <c r="F205" s="1"/>
      <c r="G205" s="1"/>
      <c r="T205" s="52"/>
      <c r="V205" s="52"/>
      <c r="W205" s="52"/>
      <c r="X205" s="52"/>
      <c r="Y205" s="52"/>
      <c r="Z205" s="52"/>
      <c r="AA205" s="52"/>
      <c r="AB205" s="52"/>
      <c r="AC205" s="52"/>
      <c r="AD205" s="52"/>
      <c r="AE205" s="52"/>
      <c r="AF205" s="52"/>
      <c r="AG205" s="52"/>
      <c r="AH205" s="52"/>
      <c r="AR205" s="14"/>
      <c r="AS205" s="14"/>
      <c r="AT205" s="14"/>
      <c r="AU205" s="14"/>
      <c r="AV205" s="14"/>
      <c r="AW205" s="14"/>
      <c r="AX205" s="14"/>
    </row>
    <row r="206" spans="5:50" customFormat="1">
      <c r="E206" s="1"/>
      <c r="F206" s="1"/>
      <c r="G206" s="1"/>
      <c r="T206" s="52"/>
      <c r="V206" s="52"/>
      <c r="W206" s="52"/>
      <c r="X206" s="52"/>
      <c r="Y206" s="52"/>
      <c r="Z206" s="52"/>
      <c r="AA206" s="52"/>
      <c r="AB206" s="52"/>
      <c r="AC206" s="52"/>
      <c r="AD206" s="52"/>
      <c r="AE206" s="52"/>
      <c r="AF206" s="52"/>
      <c r="AG206" s="52"/>
      <c r="AH206" s="52"/>
      <c r="AR206" s="14"/>
      <c r="AS206" s="14"/>
      <c r="AT206" s="14"/>
      <c r="AU206" s="14"/>
      <c r="AV206" s="14"/>
      <c r="AW206" s="14"/>
      <c r="AX206" s="14"/>
    </row>
    <row r="207" spans="5:50" customFormat="1">
      <c r="E207" s="1"/>
      <c r="F207" s="1"/>
      <c r="G207" s="1"/>
      <c r="T207" s="52"/>
      <c r="V207" s="52"/>
      <c r="W207" s="52"/>
      <c r="X207" s="52"/>
      <c r="Y207" s="52"/>
      <c r="Z207" s="52"/>
      <c r="AA207" s="52"/>
      <c r="AB207" s="52"/>
      <c r="AC207" s="52"/>
      <c r="AD207" s="52"/>
      <c r="AE207" s="52"/>
      <c r="AF207" s="52"/>
      <c r="AG207" s="52"/>
      <c r="AH207" s="52"/>
      <c r="AR207" s="14"/>
      <c r="AS207" s="14"/>
      <c r="AT207" s="14"/>
      <c r="AU207" s="14"/>
      <c r="AV207" s="14"/>
      <c r="AW207" s="14"/>
      <c r="AX207" s="14"/>
    </row>
    <row r="208" spans="5:50" customFormat="1">
      <c r="E208" s="1"/>
      <c r="F208" s="1"/>
      <c r="G208" s="1"/>
      <c r="T208" s="52"/>
      <c r="V208" s="52"/>
      <c r="W208" s="52"/>
      <c r="X208" s="52"/>
      <c r="Y208" s="52"/>
      <c r="Z208" s="52"/>
      <c r="AA208" s="52"/>
      <c r="AB208" s="52"/>
      <c r="AC208" s="52"/>
      <c r="AD208" s="52"/>
      <c r="AE208" s="52"/>
      <c r="AF208" s="52"/>
      <c r="AG208" s="52"/>
      <c r="AH208" s="52"/>
      <c r="AR208" s="14"/>
      <c r="AS208" s="14"/>
      <c r="AT208" s="14"/>
      <c r="AU208" s="14"/>
      <c r="AV208" s="14"/>
      <c r="AW208" s="14"/>
      <c r="AX208" s="14"/>
    </row>
    <row r="209" spans="5:50" customFormat="1">
      <c r="E209" s="1"/>
      <c r="F209" s="1"/>
      <c r="G209" s="1"/>
      <c r="T209" s="52"/>
      <c r="V209" s="52"/>
      <c r="W209" s="52"/>
      <c r="X209" s="52"/>
      <c r="Y209" s="52"/>
      <c r="Z209" s="52"/>
      <c r="AA209" s="52"/>
      <c r="AB209" s="52"/>
      <c r="AC209" s="52"/>
      <c r="AD209" s="52"/>
      <c r="AE209" s="52"/>
      <c r="AF209" s="52"/>
      <c r="AG209" s="52"/>
      <c r="AH209" s="52"/>
      <c r="AR209" s="14"/>
      <c r="AS209" s="14"/>
      <c r="AT209" s="14"/>
      <c r="AU209" s="14"/>
      <c r="AV209" s="14"/>
      <c r="AW209" s="14"/>
      <c r="AX209" s="14"/>
    </row>
    <row r="210" spans="5:50" customFormat="1">
      <c r="E210" s="1"/>
      <c r="F210" s="1"/>
      <c r="G210" s="1"/>
      <c r="T210" s="52"/>
      <c r="V210" s="52"/>
      <c r="W210" s="52"/>
      <c r="X210" s="52"/>
      <c r="Y210" s="52"/>
      <c r="Z210" s="52"/>
      <c r="AA210" s="52"/>
      <c r="AB210" s="52"/>
      <c r="AC210" s="52"/>
      <c r="AD210" s="52"/>
      <c r="AE210" s="52"/>
      <c r="AF210" s="52"/>
      <c r="AG210" s="52"/>
      <c r="AH210" s="52"/>
      <c r="AR210" s="14"/>
      <c r="AS210" s="14"/>
      <c r="AT210" s="14"/>
      <c r="AU210" s="14"/>
      <c r="AV210" s="14"/>
      <c r="AW210" s="14"/>
      <c r="AX210" s="14"/>
    </row>
    <row r="211" spans="5:50" customFormat="1">
      <c r="E211" s="1"/>
      <c r="F211" s="1"/>
      <c r="G211" s="1"/>
      <c r="T211" s="52"/>
      <c r="V211" s="52"/>
      <c r="W211" s="52"/>
      <c r="X211" s="52"/>
      <c r="Y211" s="52"/>
      <c r="Z211" s="52"/>
      <c r="AA211" s="52"/>
      <c r="AB211" s="52"/>
      <c r="AC211" s="52"/>
      <c r="AD211" s="52"/>
      <c r="AE211" s="52"/>
      <c r="AF211" s="52"/>
      <c r="AG211" s="52"/>
      <c r="AH211" s="52"/>
      <c r="AR211" s="14"/>
      <c r="AS211" s="14"/>
      <c r="AT211" s="14"/>
      <c r="AU211" s="14"/>
      <c r="AV211" s="14"/>
      <c r="AW211" s="14"/>
      <c r="AX211" s="14"/>
    </row>
    <row r="212" spans="5:50" customFormat="1">
      <c r="E212" s="1"/>
      <c r="F212" s="1"/>
      <c r="G212" s="1"/>
      <c r="T212" s="52"/>
      <c r="V212" s="52"/>
      <c r="W212" s="52"/>
      <c r="X212" s="52"/>
      <c r="Y212" s="52"/>
      <c r="Z212" s="52"/>
      <c r="AA212" s="52"/>
      <c r="AB212" s="52"/>
      <c r="AC212" s="52"/>
      <c r="AD212" s="52"/>
      <c r="AE212" s="52"/>
      <c r="AF212" s="52"/>
      <c r="AG212" s="52"/>
      <c r="AH212" s="52"/>
      <c r="AR212" s="14"/>
      <c r="AS212" s="14"/>
      <c r="AT212" s="14"/>
      <c r="AU212" s="14"/>
      <c r="AV212" s="14"/>
      <c r="AW212" s="14"/>
      <c r="AX212" s="14"/>
    </row>
    <row r="213" spans="5:50" customFormat="1">
      <c r="E213" s="1"/>
      <c r="F213" s="1"/>
      <c r="G213" s="1"/>
      <c r="T213" s="52"/>
      <c r="V213" s="52"/>
      <c r="W213" s="52"/>
      <c r="X213" s="52"/>
      <c r="Y213" s="52"/>
      <c r="Z213" s="52"/>
      <c r="AA213" s="52"/>
      <c r="AB213" s="52"/>
      <c r="AC213" s="52"/>
      <c r="AD213" s="52"/>
      <c r="AE213" s="52"/>
      <c r="AF213" s="52"/>
      <c r="AG213" s="52"/>
      <c r="AH213" s="52"/>
      <c r="AR213" s="14"/>
      <c r="AS213" s="14"/>
      <c r="AT213" s="14"/>
      <c r="AU213" s="14"/>
      <c r="AV213" s="14"/>
      <c r="AW213" s="14"/>
      <c r="AX213" s="14"/>
    </row>
    <row r="214" spans="5:50" customFormat="1">
      <c r="E214" s="1"/>
      <c r="F214" s="1"/>
      <c r="G214" s="1"/>
      <c r="T214" s="52"/>
      <c r="V214" s="52"/>
      <c r="W214" s="52"/>
      <c r="X214" s="52"/>
      <c r="Y214" s="52"/>
      <c r="Z214" s="52"/>
      <c r="AA214" s="52"/>
      <c r="AB214" s="52"/>
      <c r="AC214" s="52"/>
      <c r="AD214" s="52"/>
      <c r="AE214" s="52"/>
      <c r="AF214" s="52"/>
      <c r="AG214" s="52"/>
      <c r="AH214" s="52"/>
      <c r="AR214" s="14"/>
      <c r="AS214" s="14"/>
      <c r="AT214" s="14"/>
      <c r="AU214" s="14"/>
      <c r="AV214" s="14"/>
      <c r="AW214" s="14"/>
      <c r="AX214" s="14"/>
    </row>
    <row r="215" spans="5:50" customFormat="1">
      <c r="E215" s="1"/>
      <c r="F215" s="1"/>
      <c r="G215" s="1"/>
      <c r="T215" s="52"/>
      <c r="V215" s="52"/>
      <c r="W215" s="52"/>
      <c r="X215" s="52"/>
      <c r="Y215" s="52"/>
      <c r="Z215" s="52"/>
      <c r="AA215" s="52"/>
      <c r="AB215" s="52"/>
      <c r="AC215" s="52"/>
      <c r="AD215" s="52"/>
      <c r="AE215" s="52"/>
      <c r="AF215" s="52"/>
      <c r="AG215" s="52"/>
      <c r="AH215" s="52"/>
      <c r="AR215" s="14"/>
      <c r="AS215" s="14"/>
      <c r="AT215" s="14"/>
      <c r="AU215" s="14"/>
      <c r="AV215" s="14"/>
      <c r="AW215" s="14"/>
      <c r="AX215" s="14"/>
    </row>
    <row r="216" spans="5:50" customFormat="1">
      <c r="E216" s="1"/>
      <c r="F216" s="1"/>
      <c r="G216" s="1"/>
      <c r="T216" s="52"/>
      <c r="V216" s="52"/>
      <c r="W216" s="52"/>
      <c r="X216" s="52"/>
      <c r="Y216" s="52"/>
      <c r="Z216" s="52"/>
      <c r="AA216" s="52"/>
      <c r="AB216" s="52"/>
      <c r="AC216" s="52"/>
      <c r="AD216" s="52"/>
      <c r="AE216" s="52"/>
      <c r="AF216" s="52"/>
      <c r="AG216" s="52"/>
      <c r="AH216" s="52"/>
      <c r="AR216" s="14"/>
      <c r="AS216" s="14"/>
      <c r="AT216" s="14"/>
      <c r="AU216" s="14"/>
      <c r="AV216" s="14"/>
      <c r="AW216" s="14"/>
      <c r="AX216" s="14"/>
    </row>
    <row r="217" spans="5:50" customFormat="1">
      <c r="E217" s="1"/>
      <c r="F217" s="1"/>
      <c r="G217" s="1"/>
      <c r="T217" s="52"/>
      <c r="V217" s="52"/>
      <c r="W217" s="52"/>
      <c r="X217" s="52"/>
      <c r="Y217" s="52"/>
      <c r="Z217" s="52"/>
      <c r="AA217" s="52"/>
      <c r="AB217" s="52"/>
      <c r="AC217" s="52"/>
      <c r="AD217" s="52"/>
      <c r="AE217" s="52"/>
      <c r="AF217" s="52"/>
      <c r="AG217" s="52"/>
      <c r="AH217" s="52"/>
      <c r="AR217" s="14"/>
      <c r="AS217" s="14"/>
      <c r="AT217" s="14"/>
      <c r="AU217" s="14"/>
      <c r="AV217" s="14"/>
      <c r="AW217" s="14"/>
      <c r="AX217" s="14"/>
    </row>
    <row r="218" spans="5:50" customFormat="1">
      <c r="E218" s="1"/>
      <c r="F218" s="1"/>
      <c r="G218" s="1"/>
      <c r="T218" s="52"/>
      <c r="V218" s="52"/>
      <c r="W218" s="52"/>
      <c r="X218" s="52"/>
      <c r="Y218" s="52"/>
      <c r="Z218" s="52"/>
      <c r="AA218" s="52"/>
      <c r="AB218" s="52"/>
      <c r="AC218" s="52"/>
      <c r="AD218" s="52"/>
      <c r="AE218" s="52"/>
      <c r="AF218" s="52"/>
      <c r="AG218" s="52"/>
      <c r="AH218" s="52"/>
      <c r="AR218" s="14"/>
      <c r="AS218" s="14"/>
      <c r="AT218" s="14"/>
      <c r="AU218" s="14"/>
      <c r="AV218" s="14"/>
      <c r="AW218" s="14"/>
      <c r="AX218" s="14"/>
    </row>
    <row r="219" spans="5:50" customFormat="1">
      <c r="E219" s="1"/>
      <c r="F219" s="1"/>
      <c r="G219" s="1"/>
      <c r="T219" s="52"/>
      <c r="V219" s="52"/>
      <c r="W219" s="52"/>
      <c r="X219" s="52"/>
      <c r="Y219" s="52"/>
      <c r="Z219" s="52"/>
      <c r="AA219" s="52"/>
      <c r="AB219" s="52"/>
      <c r="AC219" s="52"/>
      <c r="AD219" s="52"/>
      <c r="AE219" s="52"/>
      <c r="AF219" s="52"/>
      <c r="AG219" s="52"/>
      <c r="AH219" s="52"/>
      <c r="AR219" s="14"/>
      <c r="AS219" s="14"/>
      <c r="AT219" s="14"/>
      <c r="AU219" s="14"/>
      <c r="AV219" s="14"/>
      <c r="AW219" s="14"/>
      <c r="AX219" s="14"/>
    </row>
    <row r="220" spans="5:50" customFormat="1">
      <c r="E220" s="1"/>
      <c r="F220" s="1"/>
      <c r="G220" s="1"/>
      <c r="T220" s="52"/>
      <c r="V220" s="52"/>
      <c r="W220" s="52"/>
      <c r="X220" s="52"/>
      <c r="Y220" s="52"/>
      <c r="Z220" s="52"/>
      <c r="AA220" s="52"/>
      <c r="AB220" s="52"/>
      <c r="AC220" s="52"/>
      <c r="AD220" s="52"/>
      <c r="AE220" s="52"/>
      <c r="AF220" s="52"/>
      <c r="AG220" s="52"/>
      <c r="AH220" s="52"/>
      <c r="AR220" s="14"/>
      <c r="AS220" s="14"/>
      <c r="AT220" s="14"/>
      <c r="AU220" s="14"/>
      <c r="AV220" s="14"/>
      <c r="AW220" s="14"/>
      <c r="AX220" s="14"/>
    </row>
    <row r="221" spans="5:50" customFormat="1">
      <c r="E221" s="1"/>
      <c r="F221" s="1"/>
      <c r="G221" s="1"/>
      <c r="T221" s="52"/>
      <c r="V221" s="52"/>
      <c r="W221" s="52"/>
      <c r="X221" s="52"/>
      <c r="Y221" s="52"/>
      <c r="Z221" s="52"/>
      <c r="AA221" s="52"/>
      <c r="AB221" s="52"/>
      <c r="AC221" s="52"/>
      <c r="AD221" s="52"/>
      <c r="AE221" s="52"/>
      <c r="AF221" s="52"/>
      <c r="AG221" s="52"/>
      <c r="AH221" s="52"/>
      <c r="AR221" s="14"/>
      <c r="AS221" s="14"/>
      <c r="AT221" s="14"/>
      <c r="AU221" s="14"/>
      <c r="AV221" s="14"/>
      <c r="AW221" s="14"/>
      <c r="AX221" s="14"/>
    </row>
    <row r="222" spans="5:50" customFormat="1">
      <c r="E222" s="1"/>
      <c r="F222" s="1"/>
      <c r="G222" s="1"/>
      <c r="T222" s="52"/>
      <c r="V222" s="52"/>
      <c r="W222" s="52"/>
      <c r="X222" s="52"/>
      <c r="Y222" s="52"/>
      <c r="Z222" s="52"/>
      <c r="AA222" s="52"/>
      <c r="AB222" s="52"/>
      <c r="AC222" s="52"/>
      <c r="AD222" s="52"/>
      <c r="AE222" s="52"/>
      <c r="AF222" s="52"/>
      <c r="AG222" s="52"/>
      <c r="AH222" s="52"/>
      <c r="AR222" s="14"/>
      <c r="AS222" s="14"/>
      <c r="AT222" s="14"/>
      <c r="AU222" s="14"/>
      <c r="AV222" s="14"/>
      <c r="AW222" s="14"/>
      <c r="AX222" s="14"/>
    </row>
    <row r="223" spans="5:50" customFormat="1">
      <c r="E223" s="1"/>
      <c r="F223" s="1"/>
      <c r="G223" s="1"/>
      <c r="T223" s="52"/>
      <c r="V223" s="52"/>
      <c r="W223" s="52"/>
      <c r="X223" s="52"/>
      <c r="Y223" s="52"/>
      <c r="Z223" s="52"/>
      <c r="AA223" s="52"/>
      <c r="AB223" s="52"/>
      <c r="AC223" s="52"/>
      <c r="AD223" s="52"/>
      <c r="AE223" s="52"/>
      <c r="AF223" s="52"/>
      <c r="AG223" s="52"/>
      <c r="AH223" s="52"/>
      <c r="AR223" s="14"/>
      <c r="AS223" s="14"/>
      <c r="AT223" s="14"/>
      <c r="AU223" s="14"/>
      <c r="AV223" s="14"/>
      <c r="AW223" s="14"/>
      <c r="AX223" s="14"/>
    </row>
    <row r="224" spans="5:50" customFormat="1">
      <c r="E224" s="1"/>
      <c r="F224" s="1"/>
      <c r="G224" s="1"/>
      <c r="T224" s="52"/>
      <c r="V224" s="52"/>
      <c r="W224" s="52"/>
      <c r="X224" s="52"/>
      <c r="Y224" s="52"/>
      <c r="Z224" s="52"/>
      <c r="AA224" s="52"/>
      <c r="AB224" s="52"/>
      <c r="AC224" s="52"/>
      <c r="AD224" s="52"/>
      <c r="AE224" s="52"/>
      <c r="AF224" s="52"/>
      <c r="AG224" s="52"/>
      <c r="AH224" s="52"/>
      <c r="AR224" s="14"/>
      <c r="AS224" s="14"/>
      <c r="AT224" s="14"/>
      <c r="AU224" s="14"/>
      <c r="AV224" s="14"/>
      <c r="AW224" s="14"/>
      <c r="AX224" s="14"/>
    </row>
    <row r="225" spans="5:50" customFormat="1">
      <c r="E225" s="1"/>
      <c r="F225" s="1"/>
      <c r="G225" s="1"/>
      <c r="T225" s="52"/>
      <c r="V225" s="52"/>
      <c r="W225" s="52"/>
      <c r="X225" s="52"/>
      <c r="Y225" s="52"/>
      <c r="Z225" s="52"/>
      <c r="AA225" s="52"/>
      <c r="AB225" s="52"/>
      <c r="AC225" s="52"/>
      <c r="AD225" s="52"/>
      <c r="AE225" s="52"/>
      <c r="AF225" s="52"/>
      <c r="AG225" s="52"/>
      <c r="AH225" s="52"/>
      <c r="AR225" s="14"/>
      <c r="AS225" s="14"/>
      <c r="AT225" s="14"/>
      <c r="AU225" s="14"/>
      <c r="AV225" s="14"/>
      <c r="AW225" s="14"/>
      <c r="AX225" s="14"/>
    </row>
    <row r="226" spans="5:50" customFormat="1">
      <c r="E226" s="1"/>
      <c r="F226" s="1"/>
      <c r="G226" s="1"/>
      <c r="T226" s="52"/>
      <c r="V226" s="52"/>
      <c r="W226" s="52"/>
      <c r="X226" s="52"/>
      <c r="Y226" s="52"/>
      <c r="Z226" s="52"/>
      <c r="AA226" s="52"/>
      <c r="AB226" s="52"/>
      <c r="AC226" s="52"/>
      <c r="AD226" s="52"/>
      <c r="AE226" s="52"/>
      <c r="AF226" s="52"/>
      <c r="AG226" s="52"/>
      <c r="AH226" s="52"/>
      <c r="AR226" s="14"/>
      <c r="AS226" s="14"/>
      <c r="AT226" s="14"/>
      <c r="AU226" s="14"/>
      <c r="AV226" s="14"/>
      <c r="AW226" s="14"/>
      <c r="AX226" s="14"/>
    </row>
    <row r="227" spans="5:50" customFormat="1">
      <c r="E227" s="1"/>
      <c r="F227" s="1"/>
      <c r="G227" s="1"/>
      <c r="T227" s="52"/>
      <c r="V227" s="52"/>
      <c r="W227" s="52"/>
      <c r="X227" s="52"/>
      <c r="Y227" s="52"/>
      <c r="Z227" s="52"/>
      <c r="AA227" s="52"/>
      <c r="AB227" s="52"/>
      <c r="AC227" s="52"/>
      <c r="AD227" s="52"/>
      <c r="AE227" s="52"/>
      <c r="AF227" s="52"/>
      <c r="AG227" s="52"/>
      <c r="AH227" s="52"/>
      <c r="AR227" s="14"/>
      <c r="AS227" s="14"/>
      <c r="AT227" s="14"/>
      <c r="AU227" s="14"/>
      <c r="AV227" s="14"/>
      <c r="AW227" s="14"/>
      <c r="AX227" s="14"/>
    </row>
    <row r="228" spans="5:50" customFormat="1">
      <c r="E228" s="1"/>
      <c r="F228" s="1"/>
      <c r="G228" s="1"/>
      <c r="T228" s="52"/>
      <c r="V228" s="52"/>
      <c r="W228" s="52"/>
      <c r="X228" s="52"/>
      <c r="Y228" s="52"/>
      <c r="Z228" s="52"/>
      <c r="AA228" s="52"/>
      <c r="AB228" s="52"/>
      <c r="AC228" s="52"/>
      <c r="AD228" s="52"/>
      <c r="AE228" s="52"/>
      <c r="AF228" s="52"/>
      <c r="AG228" s="52"/>
      <c r="AH228" s="52"/>
      <c r="AR228" s="14"/>
      <c r="AS228" s="14"/>
      <c r="AT228" s="14"/>
      <c r="AU228" s="14"/>
      <c r="AV228" s="14"/>
      <c r="AW228" s="14"/>
      <c r="AX228" s="14"/>
    </row>
    <row r="229" spans="5:50" customFormat="1">
      <c r="E229" s="1"/>
      <c r="F229" s="1"/>
      <c r="G229" s="1"/>
      <c r="T229" s="52"/>
      <c r="V229" s="52"/>
      <c r="W229" s="52"/>
      <c r="X229" s="52"/>
      <c r="Y229" s="52"/>
      <c r="Z229" s="52"/>
      <c r="AA229" s="52"/>
      <c r="AB229" s="52"/>
      <c r="AC229" s="52"/>
      <c r="AD229" s="52"/>
      <c r="AE229" s="52"/>
      <c r="AF229" s="52"/>
      <c r="AG229" s="52"/>
      <c r="AH229" s="52"/>
      <c r="AR229" s="14"/>
      <c r="AS229" s="14"/>
      <c r="AT229" s="14"/>
      <c r="AU229" s="14"/>
      <c r="AV229" s="14"/>
      <c r="AW229" s="14"/>
      <c r="AX229" s="14"/>
    </row>
    <row r="230" spans="5:50" customFormat="1">
      <c r="E230" s="1"/>
      <c r="F230" s="1"/>
      <c r="G230" s="1"/>
      <c r="T230" s="52"/>
      <c r="V230" s="52"/>
      <c r="W230" s="52"/>
      <c r="X230" s="52"/>
      <c r="Y230" s="52"/>
      <c r="Z230" s="52"/>
      <c r="AA230" s="52"/>
      <c r="AB230" s="52"/>
      <c r="AC230" s="52"/>
      <c r="AD230" s="52"/>
      <c r="AE230" s="52"/>
      <c r="AF230" s="52"/>
      <c r="AG230" s="52"/>
      <c r="AH230" s="52"/>
      <c r="AR230" s="14"/>
      <c r="AS230" s="14"/>
      <c r="AT230" s="14"/>
      <c r="AU230" s="14"/>
      <c r="AV230" s="14"/>
      <c r="AW230" s="14"/>
      <c r="AX230" s="14"/>
    </row>
    <row r="231" spans="5:50" customFormat="1">
      <c r="E231" s="1"/>
      <c r="F231" s="1"/>
      <c r="G231" s="1"/>
      <c r="T231" s="52"/>
      <c r="V231" s="52"/>
      <c r="W231" s="52"/>
      <c r="X231" s="52"/>
      <c r="Y231" s="52"/>
      <c r="Z231" s="52"/>
      <c r="AA231" s="52"/>
      <c r="AB231" s="52"/>
      <c r="AC231" s="52"/>
      <c r="AD231" s="52"/>
      <c r="AE231" s="52"/>
      <c r="AF231" s="52"/>
      <c r="AG231" s="52"/>
      <c r="AH231" s="52"/>
      <c r="AR231" s="14"/>
      <c r="AS231" s="14"/>
      <c r="AT231" s="14"/>
      <c r="AU231" s="14"/>
      <c r="AV231" s="14"/>
      <c r="AW231" s="14"/>
      <c r="AX231" s="14"/>
    </row>
    <row r="232" spans="5:50" customFormat="1">
      <c r="E232" s="1"/>
      <c r="F232" s="1"/>
      <c r="G232" s="1"/>
      <c r="T232" s="52"/>
      <c r="V232" s="52"/>
      <c r="W232" s="52"/>
      <c r="X232" s="52"/>
      <c r="Y232" s="52"/>
      <c r="Z232" s="52"/>
      <c r="AA232" s="52"/>
      <c r="AB232" s="52"/>
      <c r="AC232" s="52"/>
      <c r="AD232" s="52"/>
      <c r="AE232" s="52"/>
      <c r="AF232" s="52"/>
      <c r="AG232" s="52"/>
      <c r="AH232" s="52"/>
      <c r="AR232" s="14"/>
      <c r="AS232" s="14"/>
      <c r="AT232" s="14"/>
      <c r="AU232" s="14"/>
      <c r="AV232" s="14"/>
      <c r="AW232" s="14"/>
      <c r="AX232" s="14"/>
    </row>
    <row r="233" spans="5:50" customFormat="1">
      <c r="E233" s="1"/>
      <c r="F233" s="1"/>
      <c r="G233" s="1"/>
      <c r="T233" s="52"/>
      <c r="V233" s="52"/>
      <c r="W233" s="52"/>
      <c r="X233" s="52"/>
      <c r="Y233" s="52"/>
      <c r="Z233" s="52"/>
      <c r="AA233" s="52"/>
      <c r="AB233" s="52"/>
      <c r="AC233" s="52"/>
      <c r="AD233" s="52"/>
      <c r="AE233" s="52"/>
      <c r="AF233" s="52"/>
      <c r="AG233" s="52"/>
      <c r="AH233" s="52"/>
      <c r="AR233" s="14"/>
      <c r="AS233" s="14"/>
      <c r="AT233" s="14"/>
      <c r="AU233" s="14"/>
      <c r="AV233" s="14"/>
      <c r="AW233" s="14"/>
      <c r="AX233" s="14"/>
    </row>
    <row r="234" spans="5:50" customFormat="1">
      <c r="E234" s="1"/>
      <c r="F234" s="1"/>
      <c r="G234" s="1"/>
      <c r="T234" s="52"/>
      <c r="V234" s="52"/>
      <c r="W234" s="52"/>
      <c r="X234" s="52"/>
      <c r="Y234" s="52"/>
      <c r="Z234" s="52"/>
      <c r="AA234" s="52"/>
      <c r="AB234" s="52"/>
      <c r="AC234" s="52"/>
      <c r="AD234" s="52"/>
      <c r="AE234" s="52"/>
      <c r="AF234" s="52"/>
      <c r="AG234" s="52"/>
      <c r="AH234" s="52"/>
      <c r="AR234" s="14"/>
      <c r="AS234" s="14"/>
      <c r="AT234" s="14"/>
      <c r="AU234" s="14"/>
      <c r="AV234" s="14"/>
      <c r="AW234" s="14"/>
      <c r="AX234" s="14"/>
    </row>
    <row r="235" spans="5:50" customFormat="1">
      <c r="E235" s="1"/>
      <c r="F235" s="1"/>
      <c r="G235" s="1"/>
      <c r="T235" s="52"/>
      <c r="V235" s="52"/>
      <c r="W235" s="52"/>
      <c r="X235" s="52"/>
      <c r="Y235" s="52"/>
      <c r="Z235" s="52"/>
      <c r="AA235" s="52"/>
      <c r="AB235" s="52"/>
      <c r="AC235" s="52"/>
      <c r="AD235" s="52"/>
      <c r="AE235" s="52"/>
      <c r="AF235" s="52"/>
      <c r="AG235" s="52"/>
      <c r="AH235" s="52"/>
      <c r="AR235" s="14"/>
      <c r="AS235" s="14"/>
      <c r="AT235" s="14"/>
      <c r="AU235" s="14"/>
      <c r="AV235" s="14"/>
      <c r="AW235" s="14"/>
      <c r="AX235" s="14"/>
    </row>
    <row r="236" spans="5:50" customFormat="1">
      <c r="E236" s="1"/>
      <c r="F236" s="1"/>
      <c r="G236" s="1"/>
      <c r="T236" s="52"/>
      <c r="V236" s="52"/>
      <c r="W236" s="52"/>
      <c r="X236" s="52"/>
      <c r="Y236" s="52"/>
      <c r="Z236" s="52"/>
      <c r="AA236" s="52"/>
      <c r="AB236" s="52"/>
      <c r="AC236" s="52"/>
      <c r="AD236" s="52"/>
      <c r="AE236" s="52"/>
      <c r="AF236" s="52"/>
      <c r="AG236" s="52"/>
      <c r="AH236" s="52"/>
      <c r="AR236" s="14"/>
      <c r="AS236" s="14"/>
      <c r="AT236" s="14"/>
      <c r="AU236" s="14"/>
      <c r="AV236" s="14"/>
      <c r="AW236" s="14"/>
      <c r="AX236" s="14"/>
    </row>
    <row r="237" spans="5:50" customFormat="1">
      <c r="E237" s="1"/>
      <c r="F237" s="1"/>
      <c r="G237" s="1"/>
      <c r="T237" s="52"/>
      <c r="V237" s="52"/>
      <c r="W237" s="52"/>
      <c r="X237" s="52"/>
      <c r="Y237" s="52"/>
      <c r="Z237" s="52"/>
      <c r="AA237" s="52"/>
      <c r="AB237" s="52"/>
      <c r="AC237" s="52"/>
      <c r="AD237" s="52"/>
      <c r="AE237" s="52"/>
      <c r="AF237" s="52"/>
      <c r="AG237" s="52"/>
      <c r="AH237" s="52"/>
      <c r="AR237" s="14"/>
      <c r="AS237" s="14"/>
      <c r="AT237" s="14"/>
      <c r="AU237" s="14"/>
      <c r="AV237" s="14"/>
      <c r="AW237" s="14"/>
      <c r="AX237" s="14"/>
    </row>
    <row r="238" spans="5:50" customFormat="1">
      <c r="E238" s="1"/>
      <c r="F238" s="1"/>
      <c r="G238" s="1"/>
      <c r="T238" s="52"/>
      <c r="V238" s="52"/>
      <c r="W238" s="52"/>
      <c r="X238" s="52"/>
      <c r="Y238" s="52"/>
      <c r="Z238" s="52"/>
      <c r="AA238" s="52"/>
      <c r="AB238" s="52"/>
      <c r="AC238" s="52"/>
      <c r="AD238" s="52"/>
      <c r="AE238" s="52"/>
      <c r="AF238" s="52"/>
      <c r="AG238" s="52"/>
      <c r="AH238" s="52"/>
      <c r="AR238" s="14"/>
      <c r="AS238" s="14"/>
      <c r="AT238" s="14"/>
      <c r="AU238" s="14"/>
      <c r="AV238" s="14"/>
      <c r="AW238" s="14"/>
      <c r="AX238" s="14"/>
    </row>
    <row r="239" spans="5:50" customFormat="1">
      <c r="E239" s="1"/>
      <c r="F239" s="1"/>
      <c r="G239" s="1"/>
      <c r="T239" s="52"/>
      <c r="V239" s="52"/>
      <c r="W239" s="52"/>
      <c r="X239" s="52"/>
      <c r="Y239" s="52"/>
      <c r="Z239" s="52"/>
      <c r="AA239" s="52"/>
      <c r="AB239" s="52"/>
      <c r="AC239" s="52"/>
      <c r="AD239" s="52"/>
      <c r="AE239" s="52"/>
      <c r="AF239" s="52"/>
      <c r="AG239" s="52"/>
      <c r="AH239" s="52"/>
      <c r="AR239" s="14"/>
      <c r="AS239" s="14"/>
      <c r="AT239" s="14"/>
      <c r="AU239" s="14"/>
      <c r="AV239" s="14"/>
      <c r="AW239" s="14"/>
      <c r="AX239" s="14"/>
    </row>
    <row r="240" spans="5:50" customFormat="1">
      <c r="E240" s="1"/>
      <c r="F240" s="1"/>
      <c r="G240" s="1"/>
      <c r="T240" s="52"/>
      <c r="V240" s="52"/>
      <c r="W240" s="52"/>
      <c r="X240" s="52"/>
      <c r="Y240" s="52"/>
      <c r="Z240" s="52"/>
      <c r="AA240" s="52"/>
      <c r="AB240" s="52"/>
      <c r="AC240" s="52"/>
      <c r="AD240" s="52"/>
      <c r="AE240" s="52"/>
      <c r="AF240" s="52"/>
      <c r="AG240" s="52"/>
      <c r="AH240" s="52"/>
      <c r="AR240" s="14"/>
      <c r="AS240" s="14"/>
      <c r="AT240" s="14"/>
      <c r="AU240" s="14"/>
      <c r="AV240" s="14"/>
      <c r="AW240" s="14"/>
      <c r="AX240" s="14"/>
    </row>
    <row r="241" spans="5:50" customFormat="1">
      <c r="E241" s="1"/>
      <c r="F241" s="1"/>
      <c r="G241" s="1"/>
      <c r="T241" s="52"/>
      <c r="V241" s="52"/>
      <c r="W241" s="52"/>
      <c r="X241" s="52"/>
      <c r="Y241" s="52"/>
      <c r="Z241" s="52"/>
      <c r="AA241" s="52"/>
      <c r="AB241" s="52"/>
      <c r="AC241" s="52"/>
      <c r="AD241" s="52"/>
      <c r="AE241" s="52"/>
      <c r="AF241" s="52"/>
      <c r="AG241" s="52"/>
      <c r="AH241" s="52"/>
      <c r="AR241" s="14"/>
      <c r="AS241" s="14"/>
      <c r="AT241" s="14"/>
      <c r="AU241" s="14"/>
      <c r="AV241" s="14"/>
      <c r="AW241" s="14"/>
      <c r="AX241" s="14"/>
    </row>
    <row r="242" spans="5:50" customFormat="1">
      <c r="E242" s="1"/>
      <c r="F242" s="1"/>
      <c r="G242" s="1"/>
      <c r="T242" s="52"/>
      <c r="V242" s="52"/>
      <c r="W242" s="52"/>
      <c r="X242" s="52"/>
      <c r="Y242" s="52"/>
      <c r="Z242" s="52"/>
      <c r="AA242" s="52"/>
      <c r="AB242" s="52"/>
      <c r="AC242" s="52"/>
      <c r="AD242" s="52"/>
      <c r="AE242" s="52"/>
      <c r="AF242" s="52"/>
      <c r="AG242" s="52"/>
      <c r="AH242" s="52"/>
      <c r="AR242" s="14"/>
      <c r="AS242" s="14"/>
      <c r="AT242" s="14"/>
      <c r="AU242" s="14"/>
      <c r="AV242" s="14"/>
      <c r="AW242" s="14"/>
      <c r="AX242" s="14"/>
    </row>
    <row r="243" spans="5:50" customFormat="1">
      <c r="E243" s="1"/>
      <c r="F243" s="1"/>
      <c r="G243" s="1"/>
      <c r="T243" s="52"/>
      <c r="V243" s="52"/>
      <c r="W243" s="52"/>
      <c r="X243" s="52"/>
      <c r="Y243" s="52"/>
      <c r="Z243" s="52"/>
      <c r="AA243" s="52"/>
      <c r="AB243" s="52"/>
      <c r="AC243" s="52"/>
      <c r="AD243" s="52"/>
      <c r="AE243" s="52"/>
      <c r="AF243" s="52"/>
      <c r="AG243" s="52"/>
      <c r="AH243" s="52"/>
      <c r="AR243" s="14"/>
      <c r="AS243" s="14"/>
      <c r="AT243" s="14"/>
      <c r="AU243" s="14"/>
      <c r="AV243" s="14"/>
      <c r="AW243" s="14"/>
      <c r="AX243" s="14"/>
    </row>
    <row r="244" spans="5:50" customFormat="1">
      <c r="E244" s="1"/>
      <c r="F244" s="1"/>
      <c r="G244" s="1"/>
      <c r="T244" s="52"/>
      <c r="V244" s="52"/>
      <c r="W244" s="52"/>
      <c r="X244" s="52"/>
      <c r="Y244" s="52"/>
      <c r="Z244" s="52"/>
      <c r="AA244" s="52"/>
      <c r="AB244" s="52"/>
      <c r="AC244" s="52"/>
      <c r="AD244" s="52"/>
      <c r="AE244" s="52"/>
      <c r="AF244" s="52"/>
      <c r="AG244" s="52"/>
      <c r="AH244" s="52"/>
      <c r="AR244" s="14"/>
      <c r="AS244" s="14"/>
      <c r="AT244" s="14"/>
      <c r="AU244" s="14"/>
      <c r="AV244" s="14"/>
      <c r="AW244" s="14"/>
      <c r="AX244" s="14"/>
    </row>
    <row r="245" spans="5:50" customFormat="1">
      <c r="E245" s="1"/>
      <c r="F245" s="1"/>
      <c r="G245" s="1"/>
      <c r="T245" s="52"/>
      <c r="V245" s="52"/>
      <c r="W245" s="52"/>
      <c r="X245" s="52"/>
      <c r="Y245" s="52"/>
      <c r="Z245" s="52"/>
      <c r="AA245" s="52"/>
      <c r="AB245" s="52"/>
      <c r="AC245" s="52"/>
      <c r="AD245" s="52"/>
      <c r="AE245" s="52"/>
      <c r="AF245" s="52"/>
      <c r="AG245" s="52"/>
      <c r="AH245" s="52"/>
      <c r="AR245" s="14"/>
      <c r="AS245" s="14"/>
      <c r="AT245" s="14"/>
      <c r="AU245" s="14"/>
      <c r="AV245" s="14"/>
      <c r="AW245" s="14"/>
      <c r="AX245" s="14"/>
    </row>
    <row r="246" spans="5:50" customFormat="1">
      <c r="E246" s="1"/>
      <c r="F246" s="1"/>
      <c r="G246" s="1"/>
      <c r="T246" s="52"/>
      <c r="V246" s="52"/>
      <c r="W246" s="52"/>
      <c r="X246" s="52"/>
      <c r="Y246" s="52"/>
      <c r="Z246" s="52"/>
      <c r="AA246" s="52"/>
      <c r="AB246" s="52"/>
      <c r="AC246" s="52"/>
      <c r="AD246" s="52"/>
      <c r="AE246" s="52"/>
      <c r="AF246" s="52"/>
      <c r="AG246" s="52"/>
      <c r="AH246" s="52"/>
      <c r="AR246" s="14"/>
      <c r="AS246" s="14"/>
      <c r="AT246" s="14"/>
      <c r="AU246" s="14"/>
      <c r="AV246" s="14"/>
      <c r="AW246" s="14"/>
      <c r="AX246" s="14"/>
    </row>
    <row r="247" spans="5:50" customFormat="1">
      <c r="E247" s="1"/>
      <c r="F247" s="1"/>
      <c r="G247" s="1"/>
      <c r="T247" s="52"/>
      <c r="V247" s="52"/>
      <c r="W247" s="52"/>
      <c r="X247" s="52"/>
      <c r="Y247" s="52"/>
      <c r="Z247" s="52"/>
      <c r="AA247" s="52"/>
      <c r="AB247" s="52"/>
      <c r="AC247" s="52"/>
      <c r="AD247" s="52"/>
      <c r="AE247" s="52"/>
      <c r="AF247" s="52"/>
      <c r="AG247" s="52"/>
      <c r="AH247" s="52"/>
      <c r="AR247" s="14"/>
      <c r="AS247" s="14"/>
      <c r="AT247" s="14"/>
      <c r="AU247" s="14"/>
      <c r="AV247" s="14"/>
      <c r="AW247" s="14"/>
      <c r="AX247" s="14"/>
    </row>
    <row r="248" spans="5:50" customFormat="1">
      <c r="E248" s="1"/>
      <c r="F248" s="1"/>
      <c r="G248" s="1"/>
      <c r="T248" s="52"/>
      <c r="V248" s="52"/>
      <c r="W248" s="52"/>
      <c r="X248" s="52"/>
      <c r="Y248" s="52"/>
      <c r="Z248" s="52"/>
      <c r="AA248" s="52"/>
      <c r="AB248" s="52"/>
      <c r="AC248" s="52"/>
      <c r="AD248" s="52"/>
      <c r="AE248" s="52"/>
      <c r="AF248" s="52"/>
      <c r="AG248" s="52"/>
      <c r="AH248" s="52"/>
      <c r="AR248" s="14"/>
      <c r="AS248" s="14"/>
      <c r="AT248" s="14"/>
      <c r="AU248" s="14"/>
      <c r="AV248" s="14"/>
      <c r="AW248" s="14"/>
      <c r="AX248" s="14"/>
    </row>
    <row r="249" spans="5:50" customFormat="1">
      <c r="E249" s="1"/>
      <c r="F249" s="1"/>
      <c r="G249" s="1"/>
      <c r="T249" s="52"/>
      <c r="V249" s="52"/>
      <c r="W249" s="52"/>
      <c r="X249" s="52"/>
      <c r="Y249" s="52"/>
      <c r="Z249" s="52"/>
      <c r="AA249" s="52"/>
      <c r="AB249" s="52"/>
      <c r="AC249" s="52"/>
      <c r="AD249" s="52"/>
      <c r="AE249" s="52"/>
      <c r="AF249" s="52"/>
      <c r="AG249" s="52"/>
      <c r="AH249" s="52"/>
      <c r="AR249" s="14"/>
      <c r="AS249" s="14"/>
      <c r="AT249" s="14"/>
      <c r="AU249" s="14"/>
      <c r="AV249" s="14"/>
      <c r="AW249" s="14"/>
      <c r="AX249" s="14"/>
    </row>
    <row r="250" spans="5:50" customFormat="1">
      <c r="E250" s="1"/>
      <c r="F250" s="1"/>
      <c r="G250" s="1"/>
      <c r="T250" s="52"/>
      <c r="V250" s="52"/>
      <c r="W250" s="52"/>
      <c r="X250" s="52"/>
      <c r="Y250" s="52"/>
      <c r="Z250" s="52"/>
      <c r="AA250" s="52"/>
      <c r="AB250" s="52"/>
      <c r="AC250" s="52"/>
      <c r="AD250" s="52"/>
      <c r="AE250" s="52"/>
      <c r="AF250" s="52"/>
      <c r="AG250" s="52"/>
      <c r="AH250" s="52"/>
      <c r="AR250" s="14"/>
      <c r="AS250" s="14"/>
      <c r="AT250" s="14"/>
      <c r="AU250" s="14"/>
      <c r="AV250" s="14"/>
      <c r="AW250" s="14"/>
      <c r="AX250" s="14"/>
    </row>
    <row r="251" spans="5:50" customFormat="1">
      <c r="E251" s="1"/>
      <c r="F251" s="1"/>
      <c r="G251" s="1"/>
      <c r="T251" s="52"/>
      <c r="V251" s="52"/>
      <c r="W251" s="52"/>
      <c r="X251" s="52"/>
      <c r="Y251" s="52"/>
      <c r="Z251" s="52"/>
      <c r="AA251" s="52"/>
      <c r="AB251" s="52"/>
      <c r="AC251" s="52"/>
      <c r="AD251" s="52"/>
      <c r="AE251" s="52"/>
      <c r="AF251" s="52"/>
      <c r="AG251" s="52"/>
      <c r="AH251" s="52"/>
      <c r="AR251" s="14"/>
      <c r="AS251" s="14"/>
      <c r="AT251" s="14"/>
      <c r="AU251" s="14"/>
      <c r="AV251" s="14"/>
      <c r="AW251" s="14"/>
      <c r="AX251" s="14"/>
    </row>
    <row r="252" spans="5:50" customFormat="1">
      <c r="E252" s="1"/>
      <c r="F252" s="1"/>
      <c r="G252" s="1"/>
      <c r="T252" s="52"/>
      <c r="V252" s="52"/>
      <c r="W252" s="52"/>
      <c r="X252" s="52"/>
      <c r="Y252" s="52"/>
      <c r="Z252" s="52"/>
      <c r="AA252" s="52"/>
      <c r="AB252" s="52"/>
      <c r="AC252" s="52"/>
      <c r="AD252" s="52"/>
      <c r="AE252" s="52"/>
      <c r="AF252" s="52"/>
      <c r="AG252" s="52"/>
      <c r="AH252" s="52"/>
      <c r="AR252" s="14"/>
      <c r="AS252" s="14"/>
      <c r="AT252" s="14"/>
      <c r="AU252" s="14"/>
      <c r="AV252" s="14"/>
      <c r="AW252" s="14"/>
      <c r="AX252" s="14"/>
    </row>
    <row r="253" spans="5:50" customFormat="1">
      <c r="E253" s="1"/>
      <c r="F253" s="1"/>
      <c r="G253" s="1"/>
      <c r="T253" s="52"/>
      <c r="V253" s="52"/>
      <c r="W253" s="52"/>
      <c r="X253" s="52"/>
      <c r="Y253" s="52"/>
      <c r="Z253" s="52"/>
      <c r="AA253" s="52"/>
      <c r="AB253" s="52"/>
      <c r="AC253" s="52"/>
      <c r="AD253" s="52"/>
      <c r="AE253" s="52"/>
      <c r="AF253" s="52"/>
      <c r="AG253" s="52"/>
      <c r="AH253" s="52"/>
      <c r="AR253" s="14"/>
      <c r="AS253" s="14"/>
      <c r="AT253" s="14"/>
      <c r="AU253" s="14"/>
      <c r="AV253" s="14"/>
      <c r="AW253" s="14"/>
      <c r="AX253" s="14"/>
    </row>
    <row r="254" spans="5:50" customFormat="1">
      <c r="E254" s="1"/>
      <c r="F254" s="1"/>
      <c r="G254" s="1"/>
      <c r="T254" s="52"/>
      <c r="V254" s="52"/>
      <c r="W254" s="52"/>
      <c r="X254" s="52"/>
      <c r="Y254" s="52"/>
      <c r="Z254" s="52"/>
      <c r="AA254" s="52"/>
      <c r="AB254" s="52"/>
      <c r="AC254" s="52"/>
      <c r="AD254" s="52"/>
      <c r="AE254" s="52"/>
      <c r="AF254" s="52"/>
      <c r="AG254" s="52"/>
      <c r="AH254" s="52"/>
      <c r="AR254" s="14"/>
      <c r="AS254" s="14"/>
      <c r="AT254" s="14"/>
      <c r="AU254" s="14"/>
      <c r="AV254" s="14"/>
      <c r="AW254" s="14"/>
      <c r="AX254" s="14"/>
    </row>
    <row r="255" spans="5:50" customFormat="1">
      <c r="E255" s="1"/>
      <c r="F255" s="1"/>
      <c r="G255" s="1"/>
      <c r="T255" s="52"/>
      <c r="V255" s="52"/>
      <c r="W255" s="52"/>
      <c r="X255" s="52"/>
      <c r="Y255" s="52"/>
      <c r="Z255" s="52"/>
      <c r="AA255" s="52"/>
      <c r="AB255" s="52"/>
      <c r="AC255" s="52"/>
      <c r="AD255" s="52"/>
      <c r="AE255" s="52"/>
      <c r="AF255" s="52"/>
      <c r="AG255" s="52"/>
      <c r="AH255" s="52"/>
      <c r="AR255" s="14"/>
      <c r="AS255" s="14"/>
      <c r="AT255" s="14"/>
      <c r="AU255" s="14"/>
      <c r="AV255" s="14"/>
      <c r="AW255" s="14"/>
      <c r="AX255" s="14"/>
    </row>
    <row r="256" spans="5:50" customFormat="1">
      <c r="E256" s="1"/>
      <c r="F256" s="1"/>
      <c r="G256" s="1"/>
      <c r="T256" s="52"/>
      <c r="V256" s="52"/>
      <c r="W256" s="52"/>
      <c r="X256" s="52"/>
      <c r="Y256" s="52"/>
      <c r="Z256" s="52"/>
      <c r="AA256" s="52"/>
      <c r="AB256" s="52"/>
      <c r="AC256" s="52"/>
      <c r="AD256" s="52"/>
      <c r="AE256" s="52"/>
      <c r="AF256" s="52"/>
      <c r="AG256" s="52"/>
      <c r="AH256" s="52"/>
      <c r="AR256" s="14"/>
      <c r="AS256" s="14"/>
      <c r="AT256" s="14"/>
      <c r="AU256" s="14"/>
      <c r="AV256" s="14"/>
      <c r="AW256" s="14"/>
      <c r="AX256" s="14"/>
    </row>
    <row r="257" spans="5:50" customFormat="1">
      <c r="E257" s="1"/>
      <c r="F257" s="1"/>
      <c r="G257" s="1"/>
      <c r="T257" s="52"/>
      <c r="V257" s="52"/>
      <c r="W257" s="52"/>
      <c r="X257" s="52"/>
      <c r="Y257" s="52"/>
      <c r="Z257" s="52"/>
      <c r="AA257" s="52"/>
      <c r="AB257" s="52"/>
      <c r="AC257" s="52"/>
      <c r="AD257" s="52"/>
      <c r="AE257" s="52"/>
      <c r="AF257" s="52"/>
      <c r="AG257" s="52"/>
      <c r="AH257" s="52"/>
      <c r="AR257" s="14"/>
      <c r="AS257" s="14"/>
      <c r="AT257" s="14"/>
      <c r="AU257" s="14"/>
      <c r="AV257" s="14"/>
      <c r="AW257" s="14"/>
      <c r="AX257" s="14"/>
    </row>
    <row r="258" spans="5:50" customFormat="1">
      <c r="E258" s="1"/>
      <c r="F258" s="1"/>
      <c r="G258" s="1"/>
      <c r="T258" s="52"/>
      <c r="V258" s="52"/>
      <c r="W258" s="52"/>
      <c r="X258" s="52"/>
      <c r="Y258" s="52"/>
      <c r="Z258" s="52"/>
      <c r="AA258" s="52"/>
      <c r="AB258" s="52"/>
      <c r="AC258" s="52"/>
      <c r="AD258" s="52"/>
      <c r="AE258" s="52"/>
      <c r="AF258" s="52"/>
      <c r="AG258" s="52"/>
      <c r="AH258" s="52"/>
      <c r="AR258" s="14"/>
      <c r="AS258" s="14"/>
      <c r="AT258" s="14"/>
      <c r="AU258" s="14"/>
      <c r="AV258" s="14"/>
      <c r="AW258" s="14"/>
      <c r="AX258" s="14"/>
    </row>
    <row r="259" spans="5:50" customFormat="1">
      <c r="E259" s="1"/>
      <c r="F259" s="1"/>
      <c r="G259" s="1"/>
      <c r="T259" s="52"/>
      <c r="V259" s="52"/>
      <c r="W259" s="52"/>
      <c r="X259" s="52"/>
      <c r="Y259" s="52"/>
      <c r="Z259" s="52"/>
      <c r="AA259" s="52"/>
      <c r="AB259" s="52"/>
      <c r="AC259" s="52"/>
      <c r="AD259" s="52"/>
      <c r="AE259" s="52"/>
      <c r="AF259" s="52"/>
      <c r="AG259" s="52"/>
      <c r="AH259" s="52"/>
      <c r="AR259" s="14"/>
      <c r="AS259" s="14"/>
      <c r="AT259" s="14"/>
      <c r="AU259" s="14"/>
      <c r="AV259" s="14"/>
      <c r="AW259" s="14"/>
      <c r="AX259" s="14"/>
    </row>
    <row r="260" spans="5:50" customFormat="1">
      <c r="E260" s="1"/>
      <c r="F260" s="1"/>
      <c r="G260" s="1"/>
      <c r="T260" s="52"/>
      <c r="V260" s="52"/>
      <c r="W260" s="52"/>
      <c r="X260" s="52"/>
      <c r="Y260" s="52"/>
      <c r="Z260" s="52"/>
      <c r="AA260" s="52"/>
      <c r="AB260" s="52"/>
      <c r="AC260" s="52"/>
      <c r="AD260" s="52"/>
      <c r="AE260" s="52"/>
      <c r="AF260" s="52"/>
      <c r="AG260" s="52"/>
      <c r="AH260" s="52"/>
      <c r="AR260" s="14"/>
      <c r="AS260" s="14"/>
      <c r="AT260" s="14"/>
      <c r="AU260" s="14"/>
      <c r="AV260" s="14"/>
      <c r="AW260" s="14"/>
      <c r="AX260" s="14"/>
    </row>
    <row r="261" spans="5:50" customFormat="1">
      <c r="E261" s="1"/>
      <c r="F261" s="1"/>
      <c r="G261" s="1"/>
      <c r="T261" s="52"/>
      <c r="V261" s="52"/>
      <c r="W261" s="52"/>
      <c r="X261" s="52"/>
      <c r="Y261" s="52"/>
      <c r="Z261" s="52"/>
      <c r="AA261" s="52"/>
      <c r="AB261" s="52"/>
      <c r="AC261" s="52"/>
      <c r="AD261" s="52"/>
      <c r="AE261" s="52"/>
      <c r="AF261" s="52"/>
      <c r="AG261" s="52"/>
      <c r="AH261" s="52"/>
      <c r="AR261" s="14"/>
      <c r="AS261" s="14"/>
      <c r="AT261" s="14"/>
      <c r="AU261" s="14"/>
      <c r="AV261" s="14"/>
      <c r="AW261" s="14"/>
      <c r="AX261" s="14"/>
    </row>
    <row r="262" spans="5:50" customFormat="1">
      <c r="E262" s="1"/>
      <c r="F262" s="1"/>
      <c r="G262" s="1"/>
      <c r="T262" s="52"/>
      <c r="V262" s="52"/>
      <c r="W262" s="52"/>
      <c r="X262" s="52"/>
      <c r="Y262" s="52"/>
      <c r="Z262" s="52"/>
      <c r="AA262" s="52"/>
      <c r="AB262" s="52"/>
      <c r="AC262" s="52"/>
      <c r="AD262" s="52"/>
      <c r="AE262" s="52"/>
      <c r="AF262" s="52"/>
      <c r="AG262" s="52"/>
      <c r="AH262" s="52"/>
      <c r="AR262" s="14"/>
      <c r="AS262" s="14"/>
      <c r="AT262" s="14"/>
      <c r="AU262" s="14"/>
      <c r="AV262" s="14"/>
      <c r="AW262" s="14"/>
      <c r="AX262" s="14"/>
    </row>
    <row r="263" spans="5:50" customFormat="1">
      <c r="E263" s="1"/>
      <c r="F263" s="1"/>
      <c r="G263" s="1"/>
      <c r="T263" s="52"/>
      <c r="V263" s="52"/>
      <c r="W263" s="52"/>
      <c r="X263" s="52"/>
      <c r="Y263" s="52"/>
      <c r="Z263" s="52"/>
      <c r="AA263" s="52"/>
      <c r="AB263" s="52"/>
      <c r="AC263" s="52"/>
      <c r="AD263" s="52"/>
      <c r="AE263" s="52"/>
      <c r="AF263" s="52"/>
      <c r="AG263" s="52"/>
      <c r="AH263" s="52"/>
      <c r="AR263" s="14"/>
      <c r="AS263" s="14"/>
      <c r="AT263" s="14"/>
      <c r="AU263" s="14"/>
      <c r="AV263" s="14"/>
      <c r="AW263" s="14"/>
      <c r="AX263" s="14"/>
    </row>
    <row r="264" spans="5:50" customFormat="1">
      <c r="E264" s="1"/>
      <c r="F264" s="1"/>
      <c r="G264" s="1"/>
      <c r="T264" s="52"/>
      <c r="V264" s="52"/>
      <c r="W264" s="52"/>
      <c r="X264" s="52"/>
      <c r="Y264" s="52"/>
      <c r="Z264" s="52"/>
      <c r="AA264" s="52"/>
      <c r="AB264" s="52"/>
      <c r="AC264" s="52"/>
      <c r="AD264" s="52"/>
      <c r="AE264" s="52"/>
      <c r="AF264" s="52"/>
      <c r="AG264" s="52"/>
      <c r="AH264" s="52"/>
      <c r="AR264" s="14"/>
      <c r="AS264" s="14"/>
      <c r="AT264" s="14"/>
      <c r="AU264" s="14"/>
      <c r="AV264" s="14"/>
      <c r="AW264" s="14"/>
      <c r="AX264" s="14"/>
    </row>
    <row r="265" spans="5:50" customFormat="1">
      <c r="E265" s="1"/>
      <c r="F265" s="1"/>
      <c r="G265" s="1"/>
      <c r="T265" s="52"/>
      <c r="V265" s="52"/>
      <c r="W265" s="52"/>
      <c r="X265" s="52"/>
      <c r="Y265" s="52"/>
      <c r="Z265" s="52"/>
      <c r="AA265" s="52"/>
      <c r="AB265" s="52"/>
      <c r="AC265" s="52"/>
      <c r="AD265" s="52"/>
      <c r="AE265" s="52"/>
      <c r="AF265" s="52"/>
      <c r="AG265" s="52"/>
      <c r="AH265" s="52"/>
      <c r="AR265" s="14"/>
      <c r="AS265" s="14"/>
      <c r="AT265" s="14"/>
      <c r="AU265" s="14"/>
      <c r="AV265" s="14"/>
      <c r="AW265" s="14"/>
      <c r="AX265" s="14"/>
    </row>
    <row r="266" spans="5:50" customFormat="1">
      <c r="E266" s="1"/>
      <c r="F266" s="1"/>
      <c r="G266" s="1"/>
      <c r="T266" s="52"/>
      <c r="V266" s="52"/>
      <c r="W266" s="52"/>
      <c r="X266" s="52"/>
      <c r="Y266" s="52"/>
      <c r="Z266" s="52"/>
      <c r="AA266" s="52"/>
      <c r="AB266" s="52"/>
      <c r="AC266" s="52"/>
      <c r="AD266" s="52"/>
      <c r="AE266" s="52"/>
      <c r="AF266" s="52"/>
      <c r="AG266" s="52"/>
      <c r="AH266" s="52"/>
      <c r="AR266" s="14"/>
      <c r="AS266" s="14"/>
      <c r="AT266" s="14"/>
      <c r="AU266" s="14"/>
      <c r="AV266" s="14"/>
      <c r="AW266" s="14"/>
      <c r="AX266" s="14"/>
    </row>
    <row r="267" spans="5:50" customFormat="1">
      <c r="E267" s="1"/>
      <c r="F267" s="1"/>
      <c r="G267" s="1"/>
      <c r="T267" s="52"/>
      <c r="V267" s="52"/>
      <c r="W267" s="52"/>
      <c r="X267" s="52"/>
      <c r="Y267" s="52"/>
      <c r="Z267" s="52"/>
      <c r="AA267" s="52"/>
      <c r="AB267" s="52"/>
      <c r="AC267" s="52"/>
      <c r="AD267" s="52"/>
      <c r="AE267" s="52"/>
      <c r="AF267" s="52"/>
      <c r="AG267" s="52"/>
      <c r="AH267" s="52"/>
      <c r="AR267" s="14"/>
      <c r="AS267" s="14"/>
      <c r="AT267" s="14"/>
      <c r="AU267" s="14"/>
      <c r="AV267" s="14"/>
      <c r="AW267" s="14"/>
      <c r="AX267" s="14"/>
    </row>
    <row r="268" spans="5:50" customFormat="1">
      <c r="E268" s="1"/>
      <c r="F268" s="1"/>
      <c r="G268" s="1"/>
      <c r="T268" s="52"/>
      <c r="V268" s="52"/>
      <c r="W268" s="52"/>
      <c r="X268" s="52"/>
      <c r="Y268" s="52"/>
      <c r="Z268" s="52"/>
      <c r="AA268" s="52"/>
      <c r="AB268" s="52"/>
      <c r="AC268" s="52"/>
      <c r="AD268" s="52"/>
      <c r="AE268" s="52"/>
      <c r="AF268" s="52"/>
      <c r="AG268" s="52"/>
      <c r="AH268" s="52"/>
      <c r="AR268" s="14"/>
      <c r="AS268" s="14"/>
      <c r="AT268" s="14"/>
      <c r="AU268" s="14"/>
      <c r="AV268" s="14"/>
      <c r="AW268" s="14"/>
      <c r="AX268" s="14"/>
    </row>
    <row r="269" spans="5:50" customFormat="1">
      <c r="E269" s="1"/>
      <c r="F269" s="1"/>
      <c r="G269" s="1"/>
      <c r="T269" s="52"/>
      <c r="V269" s="52"/>
      <c r="W269" s="52"/>
      <c r="X269" s="52"/>
      <c r="Y269" s="52"/>
      <c r="Z269" s="52"/>
      <c r="AA269" s="52"/>
      <c r="AB269" s="52"/>
      <c r="AC269" s="52"/>
      <c r="AD269" s="52"/>
      <c r="AE269" s="52"/>
      <c r="AF269" s="52"/>
      <c r="AG269" s="52"/>
      <c r="AH269" s="52"/>
      <c r="AR269" s="14"/>
      <c r="AS269" s="14"/>
      <c r="AT269" s="14"/>
      <c r="AU269" s="14"/>
      <c r="AV269" s="14"/>
      <c r="AW269" s="14"/>
      <c r="AX269" s="14"/>
    </row>
    <row r="270" spans="5:50" customFormat="1">
      <c r="E270" s="1"/>
      <c r="F270" s="1"/>
      <c r="G270" s="1"/>
      <c r="T270" s="52"/>
      <c r="V270" s="52"/>
      <c r="W270" s="52"/>
      <c r="X270" s="52"/>
      <c r="Y270" s="52"/>
      <c r="Z270" s="52"/>
      <c r="AA270" s="52"/>
      <c r="AB270" s="52"/>
      <c r="AC270" s="52"/>
      <c r="AD270" s="52"/>
      <c r="AE270" s="52"/>
      <c r="AF270" s="52"/>
      <c r="AG270" s="52"/>
      <c r="AH270" s="52"/>
      <c r="AR270" s="14"/>
      <c r="AS270" s="14"/>
      <c r="AT270" s="14"/>
      <c r="AU270" s="14"/>
      <c r="AV270" s="14"/>
      <c r="AW270" s="14"/>
      <c r="AX270" s="14"/>
    </row>
    <row r="271" spans="5:50" customFormat="1">
      <c r="E271" s="1"/>
      <c r="F271" s="1"/>
      <c r="G271" s="1"/>
      <c r="T271" s="52"/>
      <c r="V271" s="52"/>
      <c r="W271" s="52"/>
      <c r="X271" s="52"/>
      <c r="Y271" s="52"/>
      <c r="Z271" s="52"/>
      <c r="AA271" s="52"/>
      <c r="AB271" s="52"/>
      <c r="AC271" s="52"/>
      <c r="AD271" s="52"/>
      <c r="AE271" s="52"/>
      <c r="AF271" s="52"/>
      <c r="AG271" s="52"/>
      <c r="AH271" s="52"/>
      <c r="AR271" s="14"/>
      <c r="AS271" s="14"/>
      <c r="AT271" s="14"/>
      <c r="AU271" s="14"/>
      <c r="AV271" s="14"/>
      <c r="AW271" s="14"/>
      <c r="AX271" s="14"/>
    </row>
    <row r="272" spans="5:50" customFormat="1">
      <c r="E272" s="1"/>
      <c r="F272" s="1"/>
      <c r="G272" s="1"/>
      <c r="T272" s="52"/>
      <c r="V272" s="52"/>
      <c r="W272" s="52"/>
      <c r="X272" s="52"/>
      <c r="Y272" s="52"/>
      <c r="Z272" s="52"/>
      <c r="AA272" s="52"/>
      <c r="AB272" s="52"/>
      <c r="AC272" s="52"/>
      <c r="AD272" s="52"/>
      <c r="AE272" s="52"/>
      <c r="AF272" s="52"/>
      <c r="AG272" s="52"/>
      <c r="AH272" s="52"/>
      <c r="AR272" s="14"/>
      <c r="AS272" s="14"/>
      <c r="AT272" s="14"/>
      <c r="AU272" s="14"/>
      <c r="AV272" s="14"/>
      <c r="AW272" s="14"/>
      <c r="AX272" s="14"/>
    </row>
    <row r="273" spans="5:50" customFormat="1">
      <c r="E273" s="1"/>
      <c r="F273" s="1"/>
      <c r="G273" s="1"/>
      <c r="T273" s="52"/>
      <c r="V273" s="52"/>
      <c r="W273" s="52"/>
      <c r="X273" s="52"/>
      <c r="Y273" s="52"/>
      <c r="Z273" s="52"/>
      <c r="AA273" s="52"/>
      <c r="AB273" s="52"/>
      <c r="AC273" s="52"/>
      <c r="AD273" s="52"/>
      <c r="AE273" s="52"/>
      <c r="AF273" s="52"/>
      <c r="AG273" s="52"/>
      <c r="AH273" s="52"/>
      <c r="AR273" s="14"/>
      <c r="AS273" s="14"/>
      <c r="AT273" s="14"/>
      <c r="AU273" s="14"/>
      <c r="AV273" s="14"/>
      <c r="AW273" s="14"/>
      <c r="AX273" s="14"/>
    </row>
    <row r="274" spans="5:50" customFormat="1">
      <c r="E274" s="1"/>
      <c r="F274" s="1"/>
      <c r="G274" s="1"/>
      <c r="T274" s="52"/>
      <c r="V274" s="52"/>
      <c r="W274" s="52"/>
      <c r="X274" s="52"/>
      <c r="Y274" s="52"/>
      <c r="Z274" s="52"/>
      <c r="AA274" s="52"/>
      <c r="AB274" s="52"/>
      <c r="AC274" s="52"/>
      <c r="AD274" s="52"/>
      <c r="AE274" s="52"/>
      <c r="AF274" s="52"/>
      <c r="AG274" s="52"/>
      <c r="AH274" s="52"/>
      <c r="AR274" s="14"/>
      <c r="AS274" s="14"/>
      <c r="AT274" s="14"/>
      <c r="AU274" s="14"/>
      <c r="AV274" s="14"/>
      <c r="AW274" s="14"/>
      <c r="AX274" s="14"/>
    </row>
    <row r="275" spans="5:50" customFormat="1">
      <c r="E275" s="1"/>
      <c r="F275" s="1"/>
      <c r="G275" s="1"/>
      <c r="T275" s="52"/>
      <c r="V275" s="52"/>
      <c r="W275" s="52"/>
      <c r="X275" s="52"/>
      <c r="Y275" s="52"/>
      <c r="Z275" s="52"/>
      <c r="AA275" s="52"/>
      <c r="AB275" s="52"/>
      <c r="AC275" s="52"/>
      <c r="AD275" s="52"/>
      <c r="AE275" s="52"/>
      <c r="AF275" s="52"/>
      <c r="AG275" s="52"/>
      <c r="AH275" s="52"/>
      <c r="AR275" s="14"/>
      <c r="AS275" s="14"/>
      <c r="AT275" s="14"/>
      <c r="AU275" s="14"/>
      <c r="AV275" s="14"/>
      <c r="AW275" s="14"/>
      <c r="AX275" s="14"/>
    </row>
    <row r="276" spans="5:50" customFormat="1">
      <c r="E276" s="1"/>
      <c r="F276" s="1"/>
      <c r="G276" s="1"/>
      <c r="T276" s="52"/>
      <c r="V276" s="52"/>
      <c r="W276" s="52"/>
      <c r="X276" s="52"/>
      <c r="Y276" s="52"/>
      <c r="Z276" s="52"/>
      <c r="AA276" s="52"/>
      <c r="AB276" s="52"/>
      <c r="AC276" s="52"/>
      <c r="AD276" s="52"/>
      <c r="AE276" s="52"/>
      <c r="AF276" s="52"/>
      <c r="AG276" s="52"/>
      <c r="AH276" s="52"/>
      <c r="AR276" s="14"/>
      <c r="AS276" s="14"/>
      <c r="AT276" s="14"/>
      <c r="AU276" s="14"/>
      <c r="AV276" s="14"/>
      <c r="AW276" s="14"/>
      <c r="AX276" s="14"/>
    </row>
    <row r="277" spans="5:50" customFormat="1">
      <c r="E277" s="1"/>
      <c r="F277" s="1"/>
      <c r="G277" s="1"/>
      <c r="T277" s="52"/>
      <c r="V277" s="52"/>
      <c r="W277" s="52"/>
      <c r="X277" s="52"/>
      <c r="Y277" s="52"/>
      <c r="Z277" s="52"/>
      <c r="AA277" s="52"/>
      <c r="AB277" s="52"/>
      <c r="AC277" s="52"/>
      <c r="AD277" s="52"/>
      <c r="AE277" s="52"/>
      <c r="AF277" s="52"/>
      <c r="AG277" s="52"/>
      <c r="AH277" s="52"/>
      <c r="AR277" s="14"/>
      <c r="AS277" s="14"/>
      <c r="AT277" s="14"/>
      <c r="AU277" s="14"/>
      <c r="AV277" s="14"/>
      <c r="AW277" s="14"/>
      <c r="AX277" s="14"/>
    </row>
    <row r="278" spans="5:50" customFormat="1">
      <c r="E278" s="1"/>
      <c r="F278" s="1"/>
      <c r="G278" s="1"/>
      <c r="T278" s="52"/>
      <c r="V278" s="52"/>
      <c r="W278" s="52"/>
      <c r="X278" s="52"/>
      <c r="Y278" s="52"/>
      <c r="Z278" s="52"/>
      <c r="AA278" s="52"/>
      <c r="AB278" s="52"/>
      <c r="AC278" s="52"/>
      <c r="AD278" s="52"/>
      <c r="AE278" s="52"/>
      <c r="AF278" s="52"/>
      <c r="AG278" s="52"/>
      <c r="AH278" s="52"/>
      <c r="AR278" s="14"/>
      <c r="AS278" s="14"/>
      <c r="AT278" s="14"/>
      <c r="AU278" s="14"/>
      <c r="AV278" s="14"/>
      <c r="AW278" s="14"/>
      <c r="AX278" s="14"/>
    </row>
    <row r="279" spans="5:50" customFormat="1">
      <c r="E279" s="1"/>
      <c r="F279" s="1"/>
      <c r="G279" s="1"/>
      <c r="T279" s="52"/>
      <c r="V279" s="52"/>
      <c r="W279" s="52"/>
      <c r="X279" s="52"/>
      <c r="Y279" s="52"/>
      <c r="Z279" s="52"/>
      <c r="AA279" s="52"/>
      <c r="AB279" s="52"/>
      <c r="AC279" s="52"/>
      <c r="AD279" s="52"/>
      <c r="AE279" s="52"/>
      <c r="AF279" s="52"/>
      <c r="AG279" s="52"/>
      <c r="AH279" s="52"/>
      <c r="AR279" s="14"/>
      <c r="AS279" s="14"/>
      <c r="AT279" s="14"/>
      <c r="AU279" s="14"/>
      <c r="AV279" s="14"/>
      <c r="AW279" s="14"/>
      <c r="AX279" s="14"/>
    </row>
    <row r="280" spans="5:50" customFormat="1">
      <c r="E280" s="1"/>
      <c r="F280" s="1"/>
      <c r="G280" s="1"/>
      <c r="T280" s="52"/>
      <c r="V280" s="52"/>
      <c r="W280" s="52"/>
      <c r="X280" s="52"/>
      <c r="Y280" s="52"/>
      <c r="Z280" s="52"/>
      <c r="AA280" s="52"/>
      <c r="AB280" s="52"/>
      <c r="AC280" s="52"/>
      <c r="AD280" s="52"/>
      <c r="AE280" s="52"/>
      <c r="AF280" s="52"/>
      <c r="AG280" s="52"/>
      <c r="AH280" s="52"/>
      <c r="AR280" s="14"/>
      <c r="AS280" s="14"/>
      <c r="AT280" s="14"/>
      <c r="AU280" s="14"/>
      <c r="AV280" s="14"/>
      <c r="AW280" s="14"/>
      <c r="AX280" s="14"/>
    </row>
    <row r="281" spans="5:50" customFormat="1">
      <c r="E281" s="1"/>
      <c r="F281" s="1"/>
      <c r="G281" s="1"/>
      <c r="T281" s="52"/>
      <c r="V281" s="52"/>
      <c r="W281" s="52"/>
      <c r="X281" s="52"/>
      <c r="Y281" s="52"/>
      <c r="Z281" s="52"/>
      <c r="AA281" s="52"/>
      <c r="AB281" s="52"/>
      <c r="AC281" s="52"/>
      <c r="AD281" s="52"/>
      <c r="AE281" s="52"/>
      <c r="AF281" s="52"/>
      <c r="AG281" s="52"/>
      <c r="AH281" s="52"/>
      <c r="AR281" s="14"/>
      <c r="AS281" s="14"/>
      <c r="AT281" s="14"/>
      <c r="AU281" s="14"/>
      <c r="AV281" s="14"/>
      <c r="AW281" s="14"/>
      <c r="AX281" s="14"/>
    </row>
    <row r="282" spans="5:50" customFormat="1">
      <c r="E282" s="1"/>
      <c r="F282" s="1"/>
      <c r="G282" s="1"/>
      <c r="T282" s="52"/>
      <c r="V282" s="52"/>
      <c r="W282" s="52"/>
      <c r="X282" s="52"/>
      <c r="Y282" s="52"/>
      <c r="Z282" s="52"/>
      <c r="AA282" s="52"/>
      <c r="AB282" s="52"/>
      <c r="AC282" s="52"/>
      <c r="AD282" s="52"/>
      <c r="AE282" s="52"/>
      <c r="AF282" s="52"/>
      <c r="AG282" s="52"/>
      <c r="AH282" s="52"/>
      <c r="AR282" s="14"/>
      <c r="AS282" s="14"/>
      <c r="AT282" s="14"/>
      <c r="AU282" s="14"/>
      <c r="AV282" s="14"/>
      <c r="AW282" s="14"/>
      <c r="AX282" s="14"/>
    </row>
    <row r="283" spans="5:50" customFormat="1">
      <c r="E283" s="1"/>
      <c r="F283" s="1"/>
      <c r="G283" s="1"/>
      <c r="T283" s="52"/>
      <c r="V283" s="52"/>
      <c r="W283" s="52"/>
      <c r="X283" s="52"/>
      <c r="Y283" s="52"/>
      <c r="Z283" s="52"/>
      <c r="AA283" s="52"/>
      <c r="AB283" s="52"/>
      <c r="AC283" s="52"/>
      <c r="AD283" s="52"/>
      <c r="AE283" s="52"/>
      <c r="AF283" s="52"/>
      <c r="AG283" s="52"/>
      <c r="AH283" s="52"/>
      <c r="AR283" s="14"/>
      <c r="AS283" s="14"/>
      <c r="AT283" s="14"/>
      <c r="AU283" s="14"/>
      <c r="AV283" s="14"/>
      <c r="AW283" s="14"/>
      <c r="AX283" s="14"/>
    </row>
    <row r="284" spans="5:50" customFormat="1">
      <c r="E284" s="1"/>
      <c r="F284" s="1"/>
      <c r="G284" s="1"/>
      <c r="T284" s="52"/>
      <c r="V284" s="52"/>
      <c r="W284" s="52"/>
      <c r="X284" s="52"/>
      <c r="Y284" s="52"/>
      <c r="Z284" s="52"/>
      <c r="AA284" s="52"/>
      <c r="AB284" s="52"/>
      <c r="AC284" s="52"/>
      <c r="AD284" s="52"/>
      <c r="AE284" s="52"/>
      <c r="AF284" s="52"/>
      <c r="AG284" s="52"/>
      <c r="AH284" s="52"/>
      <c r="AR284" s="14"/>
      <c r="AS284" s="14"/>
      <c r="AT284" s="14"/>
      <c r="AU284" s="14"/>
      <c r="AV284" s="14"/>
      <c r="AW284" s="14"/>
      <c r="AX284" s="14"/>
    </row>
    <row r="285" spans="5:50" customFormat="1">
      <c r="E285" s="1"/>
      <c r="F285" s="1"/>
      <c r="G285" s="1"/>
      <c r="T285" s="52"/>
      <c r="V285" s="52"/>
      <c r="W285" s="52"/>
      <c r="X285" s="52"/>
      <c r="Y285" s="52"/>
      <c r="Z285" s="52"/>
      <c r="AA285" s="52"/>
      <c r="AB285" s="52"/>
      <c r="AC285" s="52"/>
      <c r="AD285" s="52"/>
      <c r="AE285" s="52"/>
      <c r="AF285" s="52"/>
      <c r="AG285" s="52"/>
      <c r="AH285" s="52"/>
      <c r="AR285" s="14"/>
      <c r="AS285" s="14"/>
      <c r="AT285" s="14"/>
      <c r="AU285" s="14"/>
      <c r="AV285" s="14"/>
      <c r="AW285" s="14"/>
      <c r="AX285" s="14"/>
    </row>
    <row r="286" spans="5:50" customFormat="1">
      <c r="E286" s="1"/>
      <c r="F286" s="1"/>
      <c r="G286" s="1"/>
      <c r="T286" s="52"/>
      <c r="V286" s="52"/>
      <c r="W286" s="52"/>
      <c r="X286" s="52"/>
      <c r="Y286" s="52"/>
      <c r="Z286" s="52"/>
      <c r="AA286" s="52"/>
      <c r="AB286" s="52"/>
      <c r="AC286" s="52"/>
      <c r="AD286" s="52"/>
      <c r="AE286" s="52"/>
      <c r="AF286" s="52"/>
      <c r="AG286" s="52"/>
      <c r="AH286" s="52"/>
      <c r="AR286" s="14"/>
      <c r="AS286" s="14"/>
      <c r="AT286" s="14"/>
      <c r="AU286" s="14"/>
      <c r="AV286" s="14"/>
      <c r="AW286" s="14"/>
      <c r="AX286" s="14"/>
    </row>
    <row r="287" spans="5:50" customFormat="1">
      <c r="E287" s="1"/>
      <c r="F287" s="1"/>
      <c r="G287" s="1"/>
      <c r="T287" s="52"/>
      <c r="V287" s="52"/>
      <c r="W287" s="52"/>
      <c r="X287" s="52"/>
      <c r="Y287" s="52"/>
      <c r="Z287" s="52"/>
      <c r="AA287" s="52"/>
      <c r="AB287" s="52"/>
      <c r="AC287" s="52"/>
      <c r="AD287" s="52"/>
      <c r="AE287" s="52"/>
      <c r="AF287" s="52"/>
      <c r="AG287" s="52"/>
      <c r="AH287" s="52"/>
      <c r="AR287" s="14"/>
      <c r="AS287" s="14"/>
      <c r="AT287" s="14"/>
      <c r="AU287" s="14"/>
      <c r="AV287" s="14"/>
      <c r="AW287" s="14"/>
      <c r="AX287" s="14"/>
    </row>
    <row r="288" spans="5:50" customFormat="1">
      <c r="E288" s="1"/>
      <c r="F288" s="1"/>
      <c r="G288" s="1"/>
      <c r="T288" s="52"/>
      <c r="V288" s="52"/>
      <c r="W288" s="52"/>
      <c r="X288" s="52"/>
      <c r="Y288" s="52"/>
      <c r="Z288" s="52"/>
      <c r="AA288" s="52"/>
      <c r="AB288" s="52"/>
      <c r="AC288" s="52"/>
      <c r="AD288" s="52"/>
      <c r="AE288" s="52"/>
      <c r="AF288" s="52"/>
      <c r="AG288" s="52"/>
      <c r="AH288" s="52"/>
      <c r="AR288" s="14"/>
      <c r="AS288" s="14"/>
      <c r="AT288" s="14"/>
      <c r="AU288" s="14"/>
      <c r="AV288" s="14"/>
      <c r="AW288" s="14"/>
      <c r="AX288" s="14"/>
    </row>
  </sheetData>
  <sheetProtection algorithmName="SHA-512" hashValue="uEGh6F+dbK3JjD5rRLtLMVZtMi0nAtrwuTHOcYgCWYZNEh0Z25qmLHlWts6TANbJIYk3uQSHOGn0VdpHa+dQIw==" saltValue="CCfxvaq0lYEwdKuTU/tveg==" spinCount="100000" sheet="1" objects="1" scenarios="1"/>
  <mergeCells count="23">
    <mergeCell ref="E5:G5"/>
    <mergeCell ref="H5:I5"/>
    <mergeCell ref="A101:J101"/>
    <mergeCell ref="A1:C2"/>
    <mergeCell ref="A4:B4"/>
    <mergeCell ref="E3:I3"/>
    <mergeCell ref="E4:G4"/>
    <mergeCell ref="H4:I4"/>
    <mergeCell ref="W3:AA3"/>
    <mergeCell ref="W4:AA4"/>
    <mergeCell ref="K5:N5"/>
    <mergeCell ref="O5:P5"/>
    <mergeCell ref="AQ6:AW6"/>
    <mergeCell ref="K3:P3"/>
    <mergeCell ref="K4:N4"/>
    <mergeCell ref="O4:P4"/>
    <mergeCell ref="BH7:BL7"/>
    <mergeCell ref="AY6:BE6"/>
    <mergeCell ref="Q7:S7"/>
    <mergeCell ref="E7:G7"/>
    <mergeCell ref="H7:J7"/>
    <mergeCell ref="K7:M7"/>
    <mergeCell ref="N7:P7"/>
  </mergeCells>
  <phoneticPr fontId="17" type="noConversion"/>
  <conditionalFormatting sqref="D9:D99">
    <cfRule type="cellIs" dxfId="6" priority="2" stopIfTrue="1" operator="greaterThan">
      <formula>"p1"</formula>
    </cfRule>
  </conditionalFormatting>
  <conditionalFormatting sqref="O5:P5">
    <cfRule type="cellIs" dxfId="5" priority="5" stopIfTrue="1" operator="greaterThan">
      <formula>$Q$5</formula>
    </cfRule>
  </conditionalFormatting>
  <conditionalFormatting sqref="U102:U167 U9:U98">
    <cfRule type="cellIs" dxfId="4" priority="3" stopIfTrue="1" operator="equal">
      <formula>"ERROR"</formula>
    </cfRule>
    <cfRule type="cellIs" dxfId="3" priority="4" stopIfTrue="1" operator="equal">
      <formula>"VALID"</formula>
    </cfRule>
  </conditionalFormatting>
  <conditionalFormatting sqref="AD8:AF8 AA9:AA14 AC10:AF10 AD11:AF11 AB14:AC14 AA15:AC15 AD15:AF16 AB19:AC19 AC20:AH20 AG21:AH21 AB21:AD22 AF22 AB26:AF26 U99:U100 T9:T167 AH15 AH10 AA102:AH166 V102:V166 V99:AA101 X16:AA98 X9:Z15 V9:W98 W102:Z167">
    <cfRule type="cellIs" dxfId="2" priority="1" stopIfTrue="1" operator="equal">
      <formula>"M"</formula>
    </cfRule>
  </conditionalFormatting>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indexed="62"/>
  </sheetPr>
  <dimension ref="A1:AW23"/>
  <sheetViews>
    <sheetView zoomScale="130" zoomScaleNormal="130" workbookViewId="0">
      <pane xSplit="1" ySplit="3" topLeftCell="B4" activePane="bottomRight" state="frozen"/>
      <selection pane="bottomRight" activeCell="B4" sqref="B4"/>
      <selection pane="bottomLeft" activeCell="A4" sqref="A4"/>
      <selection pane="topRight" activeCell="B1" sqref="B1"/>
    </sheetView>
  </sheetViews>
  <sheetFormatPr defaultColWidth="0" defaultRowHeight="12.95"/>
  <cols>
    <col min="1" max="1" width="12.85546875" style="2" customWidth="1"/>
    <col min="2" max="2" width="8.7109375" customWidth="1"/>
    <col min="3" max="3" width="8.42578125" customWidth="1"/>
    <col min="4" max="4" width="9.85546875" customWidth="1"/>
    <col min="5" max="6" width="8.7109375" customWidth="1"/>
    <col min="7" max="7" width="8.42578125" customWidth="1"/>
    <col min="8" max="8" width="8.7109375" customWidth="1"/>
    <col min="9" max="9" width="8.42578125" customWidth="1"/>
    <col min="10" max="10" width="8.7109375" customWidth="1"/>
    <col min="11" max="11" width="8.42578125" customWidth="1"/>
    <col min="12" max="16" width="8.7109375" customWidth="1"/>
    <col min="17" max="17" width="11.140625" customWidth="1"/>
    <col min="18" max="18" width="9.140625" hidden="1" customWidth="1"/>
    <col min="19" max="24" width="11.42578125" hidden="1" customWidth="1"/>
    <col min="25" max="49" width="9.140625" hidden="1" customWidth="1"/>
  </cols>
  <sheetData>
    <row r="1" spans="1:24" ht="20.100000000000001" thickBot="1">
      <c r="A1" s="23"/>
      <c r="B1" s="353" t="s">
        <v>69</v>
      </c>
      <c r="C1" s="353"/>
      <c r="D1" s="353"/>
      <c r="E1" s="353"/>
      <c r="F1" s="353"/>
      <c r="G1" s="353"/>
      <c r="H1" s="353"/>
      <c r="I1" s="353"/>
      <c r="J1" s="353"/>
      <c r="K1" s="353"/>
      <c r="L1" s="353"/>
      <c r="M1" s="353"/>
      <c r="N1" s="353"/>
      <c r="O1" s="353"/>
      <c r="P1" s="353"/>
      <c r="Q1" s="354"/>
      <c r="S1" t="s">
        <v>70</v>
      </c>
    </row>
    <row r="2" spans="1:24" s="18" customFormat="1" ht="24" customHeight="1" thickBot="1">
      <c r="A2" s="84"/>
      <c r="B2" s="355" t="s">
        <v>97</v>
      </c>
      <c r="C2" s="355"/>
      <c r="D2" s="355"/>
      <c r="E2" s="355" t="s">
        <v>86</v>
      </c>
      <c r="F2" s="355"/>
      <c r="G2" s="355"/>
      <c r="H2" s="355" t="s">
        <v>98</v>
      </c>
      <c r="I2" s="355"/>
      <c r="J2" s="355"/>
      <c r="K2" s="355" t="s">
        <v>99</v>
      </c>
      <c r="L2" s="355"/>
      <c r="M2" s="355"/>
      <c r="N2" s="355" t="s">
        <v>100</v>
      </c>
      <c r="O2" s="355"/>
      <c r="P2" s="356"/>
      <c r="Q2" s="31"/>
      <c r="R2" s="17"/>
    </row>
    <row r="3" spans="1:24" s="20" customFormat="1" ht="41.25" customHeight="1">
      <c r="A3" s="77" t="s">
        <v>21</v>
      </c>
      <c r="B3" s="74" t="s">
        <v>24</v>
      </c>
      <c r="C3" s="74" t="s">
        <v>25</v>
      </c>
      <c r="D3" s="74" t="s">
        <v>76</v>
      </c>
      <c r="E3" s="74" t="s">
        <v>24</v>
      </c>
      <c r="F3" s="74" t="s">
        <v>25</v>
      </c>
      <c r="G3" s="74" t="s">
        <v>77</v>
      </c>
      <c r="H3" s="74" t="s">
        <v>24</v>
      </c>
      <c r="I3" s="74" t="s">
        <v>25</v>
      </c>
      <c r="J3" s="74" t="s">
        <v>76</v>
      </c>
      <c r="K3" s="74" t="s">
        <v>24</v>
      </c>
      <c r="L3" s="74" t="s">
        <v>25</v>
      </c>
      <c r="M3" s="74" t="s">
        <v>76</v>
      </c>
      <c r="N3" s="74" t="s">
        <v>24</v>
      </c>
      <c r="O3" s="74" t="s">
        <v>27</v>
      </c>
      <c r="P3" s="78" t="s">
        <v>77</v>
      </c>
      <c r="Q3" s="75" t="s">
        <v>28</v>
      </c>
      <c r="R3" s="19"/>
    </row>
    <row r="4" spans="1:24">
      <c r="A4" s="79" t="s">
        <v>78</v>
      </c>
      <c r="B4" s="24"/>
      <c r="C4" s="24"/>
      <c r="D4" s="24"/>
      <c r="E4" s="24"/>
      <c r="F4" s="24"/>
      <c r="G4" s="24"/>
      <c r="H4" s="24"/>
      <c r="I4" s="24"/>
      <c r="J4" s="24"/>
      <c r="K4" s="24"/>
      <c r="L4" s="24"/>
      <c r="M4" s="24"/>
      <c r="N4" s="24"/>
      <c r="O4" s="24"/>
      <c r="P4" s="28"/>
      <c r="Q4" s="96" t="str">
        <f>IF(X4=0,"M",((B4*C4)*D4/0.6) + ((E4*F4)*G4/0.6) +((H4*I4)*J4/0.6) +((K4*L4)*M4/0.6) + ((N4*O4)*P4/0.6))</f>
        <v>M</v>
      </c>
      <c r="S4" s="11" t="str">
        <f>IF(OR(B4="",C4="",D4=""),"M",1)</f>
        <v>M</v>
      </c>
      <c r="T4" s="11" t="str">
        <f>IF(OR(E4="",F4="",G4=""),"M",1)</f>
        <v>M</v>
      </c>
      <c r="U4" s="11" t="str">
        <f>IF(OR(H4="",I4="",J4=""),"M",1)</f>
        <v>M</v>
      </c>
      <c r="V4" s="11" t="str">
        <f>IF(OR(K4="",L4="",M4=""),"M",1)</f>
        <v>M</v>
      </c>
      <c r="W4" s="11" t="str">
        <f>IF(OR(N4="",O4="",P4=""),"M",1)</f>
        <v>M</v>
      </c>
      <c r="X4" s="11">
        <f>IF(AND(S4="M",T4="M",U4="M",V4="M",W4="M"),0,1)</f>
        <v>0</v>
      </c>
    </row>
    <row r="5" spans="1:24">
      <c r="A5" s="80" t="s">
        <v>79</v>
      </c>
      <c r="B5" s="24"/>
      <c r="C5" s="24"/>
      <c r="D5" s="24"/>
      <c r="E5" s="24"/>
      <c r="F5" s="24"/>
      <c r="G5" s="24"/>
      <c r="H5" s="24"/>
      <c r="I5" s="24"/>
      <c r="J5" s="24"/>
      <c r="K5" s="24"/>
      <c r="L5" s="24"/>
      <c r="M5" s="24"/>
      <c r="N5" s="24"/>
      <c r="O5" s="24"/>
      <c r="P5" s="28"/>
      <c r="Q5" s="96" t="str">
        <f t="shared" ref="Q5:Q10" si="0">IF(X5=0,"M",((B5*C5)*D5/0.6) + ((E5*F5)*G5/0.6) +((H5*I5)*J5/0.6) +((K5*L5)*M5/0.6) + ((N5*O5)*P5/0.6))</f>
        <v>M</v>
      </c>
      <c r="S5" s="11" t="str">
        <f t="shared" ref="S5:S10" si="1">IF(OR(B5="",C5="",D5=""),"M",1)</f>
        <v>M</v>
      </c>
      <c r="T5" s="11" t="str">
        <f t="shared" ref="T5:T10" si="2">IF(OR(E5="",F5="",G5=""),"M",1)</f>
        <v>M</v>
      </c>
      <c r="U5" s="11" t="str">
        <f t="shared" ref="U5:U10" si="3">IF(OR(H5="",I5="",J5=""),"M",1)</f>
        <v>M</v>
      </c>
      <c r="V5" s="11" t="str">
        <f t="shared" ref="V5:V10" si="4">IF(OR(K5="",L5="",M5=""),"M",1)</f>
        <v>M</v>
      </c>
      <c r="W5" s="11" t="str">
        <f t="shared" ref="W5:W10" si="5">IF(OR(N5="",O5="",P5=""),"M",1)</f>
        <v>M</v>
      </c>
      <c r="X5" s="11">
        <f t="shared" ref="X5:X10" si="6">IF(AND(S5="M",T5="M",U5="M",V5="M",W5="M"),0,1)</f>
        <v>0</v>
      </c>
    </row>
    <row r="6" spans="1:24">
      <c r="A6" s="79" t="s">
        <v>80</v>
      </c>
      <c r="B6" s="24"/>
      <c r="C6" s="24"/>
      <c r="D6" s="24"/>
      <c r="E6" s="24"/>
      <c r="F6" s="24"/>
      <c r="G6" s="24"/>
      <c r="H6" s="24"/>
      <c r="I6" s="24"/>
      <c r="J6" s="24"/>
      <c r="K6" s="24"/>
      <c r="L6" s="24"/>
      <c r="M6" s="24"/>
      <c r="N6" s="24"/>
      <c r="O6" s="24"/>
      <c r="P6" s="28"/>
      <c r="Q6" s="96" t="str">
        <f t="shared" si="0"/>
        <v>M</v>
      </c>
      <c r="S6" s="11" t="str">
        <f t="shared" si="1"/>
        <v>M</v>
      </c>
      <c r="T6" s="11" t="str">
        <f t="shared" si="2"/>
        <v>M</v>
      </c>
      <c r="U6" s="11" t="str">
        <f t="shared" si="3"/>
        <v>M</v>
      </c>
      <c r="V6" s="11" t="str">
        <f t="shared" si="4"/>
        <v>M</v>
      </c>
      <c r="W6" s="11" t="str">
        <f t="shared" si="5"/>
        <v>M</v>
      </c>
      <c r="X6" s="11">
        <f t="shared" si="6"/>
        <v>0</v>
      </c>
    </row>
    <row r="7" spans="1:24">
      <c r="A7" s="80" t="s">
        <v>81</v>
      </c>
      <c r="B7" s="24"/>
      <c r="C7" s="24"/>
      <c r="D7" s="24"/>
      <c r="E7" s="24"/>
      <c r="F7" s="24"/>
      <c r="G7" s="24"/>
      <c r="H7" s="24"/>
      <c r="I7" s="24"/>
      <c r="J7" s="24"/>
      <c r="K7" s="24"/>
      <c r="L7" s="24"/>
      <c r="M7" s="24"/>
      <c r="N7" s="24"/>
      <c r="O7" s="24"/>
      <c r="P7" s="28"/>
      <c r="Q7" s="96" t="str">
        <f t="shared" si="0"/>
        <v>M</v>
      </c>
      <c r="S7" s="11" t="str">
        <f t="shared" si="1"/>
        <v>M</v>
      </c>
      <c r="T7" s="11" t="str">
        <f t="shared" si="2"/>
        <v>M</v>
      </c>
      <c r="U7" s="11" t="str">
        <f t="shared" si="3"/>
        <v>M</v>
      </c>
      <c r="V7" s="11" t="str">
        <f t="shared" si="4"/>
        <v>M</v>
      </c>
      <c r="W7" s="11" t="str">
        <f t="shared" si="5"/>
        <v>M</v>
      </c>
      <c r="X7" s="11">
        <f t="shared" si="6"/>
        <v>0</v>
      </c>
    </row>
    <row r="8" spans="1:24">
      <c r="A8" s="79" t="s">
        <v>82</v>
      </c>
      <c r="B8" s="24"/>
      <c r="C8" s="24"/>
      <c r="D8" s="24"/>
      <c r="E8" s="24"/>
      <c r="F8" s="24"/>
      <c r="G8" s="24"/>
      <c r="H8" s="24"/>
      <c r="I8" s="24"/>
      <c r="J8" s="24"/>
      <c r="K8" s="24"/>
      <c r="L8" s="24"/>
      <c r="M8" s="24"/>
      <c r="N8" s="24"/>
      <c r="O8" s="24"/>
      <c r="P8" s="28"/>
      <c r="Q8" s="96" t="str">
        <f t="shared" si="0"/>
        <v>M</v>
      </c>
      <c r="S8" s="11" t="str">
        <f t="shared" si="1"/>
        <v>M</v>
      </c>
      <c r="T8" s="11" t="str">
        <f t="shared" si="2"/>
        <v>M</v>
      </c>
      <c r="U8" s="11" t="str">
        <f t="shared" si="3"/>
        <v>M</v>
      </c>
      <c r="V8" s="11" t="str">
        <f t="shared" si="4"/>
        <v>M</v>
      </c>
      <c r="W8" s="11" t="str">
        <f t="shared" si="5"/>
        <v>M</v>
      </c>
      <c r="X8" s="11">
        <f t="shared" si="6"/>
        <v>0</v>
      </c>
    </row>
    <row r="9" spans="1:24">
      <c r="A9" s="80" t="s">
        <v>83</v>
      </c>
      <c r="B9" s="24"/>
      <c r="C9" s="24"/>
      <c r="D9" s="24"/>
      <c r="E9" s="24"/>
      <c r="F9" s="24"/>
      <c r="G9" s="24"/>
      <c r="H9" s="24"/>
      <c r="I9" s="24"/>
      <c r="J9" s="24"/>
      <c r="K9" s="24"/>
      <c r="L9" s="24"/>
      <c r="M9" s="24"/>
      <c r="N9" s="24"/>
      <c r="O9" s="24"/>
      <c r="P9" s="28"/>
      <c r="Q9" s="96" t="str">
        <f t="shared" si="0"/>
        <v>M</v>
      </c>
      <c r="S9" s="11" t="str">
        <f t="shared" si="1"/>
        <v>M</v>
      </c>
      <c r="T9" s="11" t="str">
        <f t="shared" si="2"/>
        <v>M</v>
      </c>
      <c r="U9" s="11" t="str">
        <f t="shared" si="3"/>
        <v>M</v>
      </c>
      <c r="V9" s="11" t="str">
        <f t="shared" si="4"/>
        <v>M</v>
      </c>
      <c r="W9" s="11" t="str">
        <f t="shared" si="5"/>
        <v>M</v>
      </c>
      <c r="X9" s="11">
        <f t="shared" si="6"/>
        <v>0</v>
      </c>
    </row>
    <row r="10" spans="1:24" ht="14.1" thickBot="1">
      <c r="A10" s="81" t="s">
        <v>84</v>
      </c>
      <c r="B10" s="82"/>
      <c r="C10" s="82"/>
      <c r="D10" s="82"/>
      <c r="E10" s="82"/>
      <c r="F10" s="82"/>
      <c r="G10" s="82"/>
      <c r="H10" s="82"/>
      <c r="I10" s="82"/>
      <c r="J10" s="82"/>
      <c r="K10" s="82"/>
      <c r="L10" s="82"/>
      <c r="M10" s="82"/>
      <c r="N10" s="82"/>
      <c r="O10" s="82"/>
      <c r="P10" s="83"/>
      <c r="Q10" s="96" t="str">
        <f t="shared" si="0"/>
        <v>M</v>
      </c>
      <c r="S10" s="11" t="str">
        <f t="shared" si="1"/>
        <v>M</v>
      </c>
      <c r="T10" s="11" t="str">
        <f t="shared" si="2"/>
        <v>M</v>
      </c>
      <c r="U10" s="11" t="str">
        <f t="shared" si="3"/>
        <v>M</v>
      </c>
      <c r="V10" s="11" t="str">
        <f t="shared" si="4"/>
        <v>M</v>
      </c>
      <c r="W10" s="11" t="str">
        <f t="shared" si="5"/>
        <v>M</v>
      </c>
      <c r="X10" s="11">
        <f t="shared" si="6"/>
        <v>0</v>
      </c>
    </row>
    <row r="12" spans="1:24" hidden="1"/>
    <row r="13" spans="1:24" hidden="1"/>
    <row r="14" spans="1:24" ht="18.95" hidden="1">
      <c r="A14" s="23"/>
      <c r="B14" s="353" t="s">
        <v>85</v>
      </c>
      <c r="C14" s="353"/>
      <c r="D14" s="353"/>
      <c r="E14" s="353"/>
      <c r="F14" s="353"/>
      <c r="G14" s="353"/>
      <c r="H14" s="353"/>
      <c r="I14" s="353"/>
      <c r="J14" s="353"/>
      <c r="K14" s="353"/>
      <c r="L14" s="353"/>
      <c r="M14" s="353"/>
      <c r="N14" s="353"/>
      <c r="O14" s="353"/>
      <c r="P14" s="353"/>
      <c r="Q14" s="354"/>
    </row>
    <row r="15" spans="1:24" s="18" customFormat="1" ht="24" hidden="1" customHeight="1">
      <c r="A15" s="35"/>
      <c r="B15" s="358" t="s">
        <v>97</v>
      </c>
      <c r="C15" s="358"/>
      <c r="D15" s="358"/>
      <c r="E15" s="359" t="s">
        <v>86</v>
      </c>
      <c r="F15" s="359"/>
      <c r="G15" s="359"/>
      <c r="H15" s="360" t="s">
        <v>98</v>
      </c>
      <c r="I15" s="360"/>
      <c r="J15" s="360"/>
      <c r="K15" s="361" t="s">
        <v>99</v>
      </c>
      <c r="L15" s="361"/>
      <c r="M15" s="361"/>
      <c r="N15" s="357" t="s">
        <v>100</v>
      </c>
      <c r="O15" s="357"/>
      <c r="P15" s="357"/>
      <c r="Q15" s="41"/>
      <c r="R15" s="17"/>
    </row>
    <row r="16" spans="1:24" s="20" customFormat="1" ht="39.75" hidden="1" customHeight="1">
      <c r="A16" s="36" t="s">
        <v>21</v>
      </c>
      <c r="B16" s="32" t="s">
        <v>24</v>
      </c>
      <c r="C16" s="32" t="s">
        <v>25</v>
      </c>
      <c r="D16" s="32" t="s">
        <v>76</v>
      </c>
      <c r="E16" s="33" t="s">
        <v>24</v>
      </c>
      <c r="F16" s="33" t="s">
        <v>25</v>
      </c>
      <c r="G16" s="33" t="s">
        <v>77</v>
      </c>
      <c r="H16" s="39" t="s">
        <v>24</v>
      </c>
      <c r="I16" s="39" t="s">
        <v>25</v>
      </c>
      <c r="J16" s="39" t="s">
        <v>76</v>
      </c>
      <c r="K16" s="40" t="s">
        <v>24</v>
      </c>
      <c r="L16" s="40" t="s">
        <v>25</v>
      </c>
      <c r="M16" s="40" t="s">
        <v>76</v>
      </c>
      <c r="N16" s="34" t="s">
        <v>24</v>
      </c>
      <c r="O16" s="34" t="s">
        <v>27</v>
      </c>
      <c r="P16" s="34" t="s">
        <v>77</v>
      </c>
      <c r="Q16" s="32" t="s">
        <v>28</v>
      </c>
      <c r="R16" s="19"/>
    </row>
    <row r="17" spans="1:17" hidden="1">
      <c r="A17" s="37" t="s">
        <v>78</v>
      </c>
      <c r="B17" s="24"/>
      <c r="C17" s="24"/>
      <c r="D17" s="24"/>
      <c r="E17" s="24"/>
      <c r="F17" s="24"/>
      <c r="G17" s="24"/>
      <c r="H17" s="24"/>
      <c r="I17" s="24"/>
      <c r="J17" s="24"/>
      <c r="K17" s="24"/>
      <c r="L17" s="24"/>
      <c r="M17" s="24"/>
      <c r="N17" s="24"/>
      <c r="O17" s="24"/>
      <c r="P17" s="24"/>
      <c r="Q17" s="42">
        <f t="shared" ref="Q17:Q23" si="7">((B17*C17)*D17/0.5) + ((E17*F17)*G17/0.5) +((H17*I17)*J17/0.5) +((K17*L17)*M17/0.5) + ((N17*O17)*P17/0.5)</f>
        <v>0</v>
      </c>
    </row>
    <row r="18" spans="1:17" hidden="1">
      <c r="A18" s="38" t="s">
        <v>79</v>
      </c>
      <c r="B18" s="24"/>
      <c r="C18" s="24"/>
      <c r="D18" s="24"/>
      <c r="E18" s="24"/>
      <c r="F18" s="24"/>
      <c r="G18" s="24"/>
      <c r="H18" s="24"/>
      <c r="I18" s="24"/>
      <c r="J18" s="24"/>
      <c r="K18" s="24"/>
      <c r="L18" s="24"/>
      <c r="M18" s="24"/>
      <c r="N18" s="24"/>
      <c r="O18" s="24"/>
      <c r="P18" s="24"/>
      <c r="Q18" s="42">
        <f t="shared" si="7"/>
        <v>0</v>
      </c>
    </row>
    <row r="19" spans="1:17" hidden="1">
      <c r="A19" s="37" t="s">
        <v>80</v>
      </c>
      <c r="B19" s="24"/>
      <c r="C19" s="24"/>
      <c r="D19" s="24"/>
      <c r="E19" s="24"/>
      <c r="F19" s="24"/>
      <c r="G19" s="24"/>
      <c r="H19" s="24"/>
      <c r="I19" s="24"/>
      <c r="J19" s="24"/>
      <c r="K19" s="24"/>
      <c r="L19" s="24"/>
      <c r="M19" s="24"/>
      <c r="N19" s="24"/>
      <c r="O19" s="24"/>
      <c r="P19" s="24"/>
      <c r="Q19" s="42">
        <f t="shared" si="7"/>
        <v>0</v>
      </c>
    </row>
    <row r="20" spans="1:17" hidden="1">
      <c r="A20" s="38" t="s">
        <v>81</v>
      </c>
      <c r="B20" s="24"/>
      <c r="C20" s="24"/>
      <c r="D20" s="24"/>
      <c r="E20" s="24"/>
      <c r="F20" s="24"/>
      <c r="G20" s="24"/>
      <c r="H20" s="24"/>
      <c r="I20" s="24"/>
      <c r="J20" s="24"/>
      <c r="K20" s="24"/>
      <c r="L20" s="24"/>
      <c r="M20" s="24"/>
      <c r="N20" s="24"/>
      <c r="O20" s="24"/>
      <c r="P20" s="24"/>
      <c r="Q20" s="42">
        <f t="shared" si="7"/>
        <v>0</v>
      </c>
    </row>
    <row r="21" spans="1:17" hidden="1">
      <c r="A21" s="37" t="s">
        <v>82</v>
      </c>
      <c r="B21" s="24"/>
      <c r="C21" s="24"/>
      <c r="D21" s="24"/>
      <c r="E21" s="24"/>
      <c r="F21" s="24"/>
      <c r="G21" s="24"/>
      <c r="H21" s="24"/>
      <c r="I21" s="24"/>
      <c r="J21" s="24"/>
      <c r="K21" s="24"/>
      <c r="L21" s="24"/>
      <c r="M21" s="24"/>
      <c r="N21" s="24"/>
      <c r="O21" s="24"/>
      <c r="P21" s="24"/>
      <c r="Q21" s="42">
        <f t="shared" si="7"/>
        <v>0</v>
      </c>
    </row>
    <row r="22" spans="1:17" hidden="1">
      <c r="A22" s="38" t="s">
        <v>83</v>
      </c>
      <c r="B22" s="24"/>
      <c r="C22" s="24"/>
      <c r="D22" s="24"/>
      <c r="E22" s="24"/>
      <c r="F22" s="24"/>
      <c r="G22" s="24"/>
      <c r="H22" s="24"/>
      <c r="I22" s="24"/>
      <c r="J22" s="24"/>
      <c r="K22" s="24"/>
      <c r="L22" s="24"/>
      <c r="M22" s="24"/>
      <c r="N22" s="24"/>
      <c r="O22" s="24"/>
      <c r="P22" s="24"/>
      <c r="Q22" s="42">
        <f t="shared" si="7"/>
        <v>0</v>
      </c>
    </row>
    <row r="23" spans="1:17" hidden="1">
      <c r="A23" s="37" t="s">
        <v>84</v>
      </c>
      <c r="B23" s="24"/>
      <c r="C23" s="24"/>
      <c r="D23" s="24"/>
      <c r="E23" s="24"/>
      <c r="F23" s="24"/>
      <c r="G23" s="24"/>
      <c r="H23" s="24"/>
      <c r="I23" s="24"/>
      <c r="J23" s="24"/>
      <c r="K23" s="24"/>
      <c r="L23" s="24"/>
      <c r="M23" s="24"/>
      <c r="N23" s="24"/>
      <c r="O23" s="24"/>
      <c r="P23" s="24"/>
      <c r="Q23" s="42">
        <f t="shared" si="7"/>
        <v>0</v>
      </c>
    </row>
  </sheetData>
  <sheetProtection password="8144" sheet="1" objects="1" scenarios="1"/>
  <mergeCells count="12">
    <mergeCell ref="B1:Q1"/>
    <mergeCell ref="B2:D2"/>
    <mergeCell ref="E2:G2"/>
    <mergeCell ref="H2:J2"/>
    <mergeCell ref="K2:M2"/>
    <mergeCell ref="N2:P2"/>
    <mergeCell ref="B14:Q14"/>
    <mergeCell ref="B15:D15"/>
    <mergeCell ref="E15:G15"/>
    <mergeCell ref="H15:J15"/>
    <mergeCell ref="K15:M15"/>
    <mergeCell ref="N15:P15"/>
  </mergeCells>
  <phoneticPr fontId="17" type="noConversion"/>
  <conditionalFormatting sqref="Q4:Q10">
    <cfRule type="cellIs" dxfId="1" priority="1" stopIfTrue="1" operator="equal">
      <formula>"M"</formula>
    </cfRule>
  </conditionalFormatting>
  <pageMargins left="0.75" right="0.75" top="1" bottom="1" header="0.5" footer="0.5"/>
  <pageSetup orientation="portrait" horizontalDpi="0" verticalDpi="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R29"/>
  <sheetViews>
    <sheetView workbookViewId="0">
      <selection activeCell="A9" sqref="A9"/>
    </sheetView>
  </sheetViews>
  <sheetFormatPr defaultColWidth="8.85546875" defaultRowHeight="12.95"/>
  <cols>
    <col min="1" max="1" width="20.42578125" customWidth="1"/>
    <col min="2" max="11" width="9.140625" customWidth="1"/>
    <col min="12" max="12" width="9.140625" style="3" customWidth="1"/>
    <col min="13" max="13" width="9.140625" style="21" customWidth="1"/>
    <col min="14" max="14" width="9.42578125" hidden="1" customWidth="1"/>
    <col min="15" max="15" width="4.7109375" customWidth="1"/>
  </cols>
  <sheetData>
    <row r="1" spans="1:18">
      <c r="A1" s="381" t="s">
        <v>101</v>
      </c>
      <c r="B1" s="381"/>
      <c r="C1" s="381"/>
      <c r="D1" s="381"/>
      <c r="E1" s="381"/>
      <c r="F1" s="381"/>
      <c r="G1" s="381"/>
      <c r="H1" s="381"/>
      <c r="I1" s="381"/>
      <c r="J1" s="381"/>
      <c r="K1" s="381"/>
      <c r="L1" s="381"/>
      <c r="M1" s="381"/>
      <c r="N1" s="381"/>
    </row>
    <row r="2" spans="1:18">
      <c r="A2" s="381"/>
      <c r="B2" s="381"/>
      <c r="C2" s="381"/>
      <c r="D2" s="381"/>
      <c r="E2" s="381"/>
      <c r="F2" s="381"/>
      <c r="G2" s="381"/>
      <c r="H2" s="381"/>
      <c r="I2" s="381"/>
      <c r="J2" s="381"/>
      <c r="K2" s="381"/>
      <c r="L2" s="381"/>
      <c r="M2" s="381"/>
      <c r="N2" s="381"/>
    </row>
    <row r="3" spans="1:18">
      <c r="A3" s="381"/>
      <c r="B3" s="381"/>
      <c r="C3" s="381"/>
      <c r="D3" s="381"/>
      <c r="E3" s="381"/>
      <c r="F3" s="381"/>
      <c r="G3" s="381"/>
      <c r="H3" s="381"/>
      <c r="I3" s="381"/>
      <c r="J3" s="381"/>
      <c r="K3" s="381"/>
      <c r="L3" s="381"/>
      <c r="M3" s="381"/>
      <c r="N3" s="381"/>
    </row>
    <row r="4" spans="1:18" ht="13.5" customHeight="1" thickBot="1">
      <c r="A4" s="381"/>
      <c r="B4" s="381"/>
      <c r="C4" s="381"/>
      <c r="D4" s="381"/>
      <c r="E4" s="381"/>
      <c r="F4" s="381"/>
      <c r="G4" s="381"/>
      <c r="H4" s="381"/>
      <c r="I4" s="381"/>
      <c r="J4" s="381"/>
      <c r="K4" s="381"/>
      <c r="L4" s="381"/>
      <c r="M4" s="381"/>
      <c r="N4" s="381"/>
      <c r="O4" s="142"/>
    </row>
    <row r="5" spans="1:18" ht="17.25" customHeight="1" thickTop="1" thickBot="1">
      <c r="A5" s="106"/>
      <c r="B5" s="382" t="s">
        <v>102</v>
      </c>
      <c r="C5" s="383"/>
      <c r="D5" s="382" t="s">
        <v>103</v>
      </c>
      <c r="E5" s="383"/>
      <c r="F5" s="382" t="s">
        <v>104</v>
      </c>
      <c r="G5" s="383"/>
      <c r="H5" s="382" t="s">
        <v>105</v>
      </c>
      <c r="I5" s="383"/>
      <c r="J5" s="382" t="s">
        <v>106</v>
      </c>
      <c r="K5" s="383"/>
      <c r="L5" s="384" t="s">
        <v>107</v>
      </c>
      <c r="M5" s="385"/>
      <c r="N5" s="49"/>
      <c r="O5" s="143"/>
      <c r="P5" s="378" t="s">
        <v>108</v>
      </c>
      <c r="Q5" s="379"/>
      <c r="R5" s="380"/>
    </row>
    <row r="6" spans="1:18" ht="47.1" customHeight="1" thickTop="1" thickBot="1">
      <c r="A6" s="152" t="s">
        <v>109</v>
      </c>
      <c r="B6" s="102" t="s">
        <v>110</v>
      </c>
      <c r="C6" s="103" t="s">
        <v>111</v>
      </c>
      <c r="D6" s="102" t="s">
        <v>112</v>
      </c>
      <c r="E6" s="103" t="s">
        <v>111</v>
      </c>
      <c r="F6" s="102" t="s">
        <v>110</v>
      </c>
      <c r="G6" s="103" t="s">
        <v>111</v>
      </c>
      <c r="H6" s="102" t="s">
        <v>110</v>
      </c>
      <c r="I6" s="103" t="s">
        <v>111</v>
      </c>
      <c r="J6" s="102" t="s">
        <v>110</v>
      </c>
      <c r="K6" s="103" t="s">
        <v>111</v>
      </c>
      <c r="L6" s="104" t="s">
        <v>113</v>
      </c>
      <c r="M6" s="105" t="s">
        <v>114</v>
      </c>
      <c r="N6" s="151" t="s">
        <v>115</v>
      </c>
      <c r="O6" s="144"/>
      <c r="P6" s="108" t="s">
        <v>24</v>
      </c>
      <c r="Q6" s="108" t="s">
        <v>25</v>
      </c>
      <c r="R6" s="109" t="s">
        <v>26</v>
      </c>
    </row>
    <row r="7" spans="1:18" ht="14.1" thickTop="1">
      <c r="A7" s="153" t="s">
        <v>116</v>
      </c>
      <c r="B7" s="85">
        <v>1.5</v>
      </c>
      <c r="C7" s="86">
        <v>0.4</v>
      </c>
      <c r="D7" s="85">
        <v>0.5</v>
      </c>
      <c r="E7" s="86">
        <v>0.17</v>
      </c>
      <c r="F7" s="85"/>
      <c r="G7" s="86"/>
      <c r="H7" s="85"/>
      <c r="I7" s="86"/>
      <c r="J7" s="85"/>
      <c r="K7" s="86"/>
      <c r="L7" s="161">
        <f>IF(B7="","",(J7+H7+F7+D7+B7))</f>
        <v>2</v>
      </c>
      <c r="M7" s="162">
        <f>IF(B7 ="","",(N7/L7)*0.6)</f>
        <v>0.34249999999999997</v>
      </c>
      <c r="N7" s="107">
        <f>B7*(C7/0.6)+D7*(E7/0.6)+F7*(G7/0.6)+H7*(I7/0.6)+J7*(K7/0.6)</f>
        <v>1.1416666666666666</v>
      </c>
      <c r="O7" s="145"/>
      <c r="P7" s="146">
        <v>5</v>
      </c>
      <c r="Q7" s="146">
        <v>2</v>
      </c>
      <c r="R7" s="147">
        <v>0.34300000000000003</v>
      </c>
    </row>
    <row r="8" spans="1:18" ht="14.1" thickBot="1">
      <c r="A8" s="154" t="s">
        <v>117</v>
      </c>
      <c r="B8" s="85">
        <v>1.5</v>
      </c>
      <c r="C8" s="86">
        <v>0.47</v>
      </c>
      <c r="D8" s="85">
        <v>0.75</v>
      </c>
      <c r="E8" s="86">
        <v>0.18</v>
      </c>
      <c r="F8" s="85"/>
      <c r="G8" s="86"/>
      <c r="H8" s="85"/>
      <c r="I8" s="86"/>
      <c r="J8" s="85"/>
      <c r="K8" s="86"/>
      <c r="L8" s="161">
        <f>IF(B8="","",(J8+H8+F8+D8+B8))</f>
        <v>2.25</v>
      </c>
      <c r="M8" s="162">
        <f>IF(B8 ="","",(N8/L8)*0.6)</f>
        <v>0.37333333333333335</v>
      </c>
      <c r="N8" s="107">
        <f t="shared" ref="N8:N26" si="0">B8*(C8/0.6)+D8*(E8/0.6)+F8*(G8/0.6)+H8*(I8/0.6)+J8*(K8/0.6)</f>
        <v>1.4</v>
      </c>
      <c r="O8" s="148"/>
      <c r="P8" s="149">
        <v>3</v>
      </c>
      <c r="Q8" s="149">
        <v>2.25</v>
      </c>
      <c r="R8" s="150">
        <v>0.373</v>
      </c>
    </row>
    <row r="9" spans="1:18" ht="14.25" customHeight="1">
      <c r="A9" s="155"/>
      <c r="B9" s="87"/>
      <c r="C9" s="88"/>
      <c r="D9" s="87"/>
      <c r="E9" s="88"/>
      <c r="F9" s="87"/>
      <c r="G9" s="88"/>
      <c r="H9" s="87"/>
      <c r="I9" s="88"/>
      <c r="J9" s="87"/>
      <c r="K9" s="88"/>
      <c r="L9" s="161" t="str">
        <f t="shared" ref="L9:L26" si="1">IF(B9="","",(J9+H9+F9+D9+B9))</f>
        <v/>
      </c>
      <c r="M9" s="162" t="str">
        <f t="shared" ref="M9:M26" si="2">IF(B9 ="","",(N9/L9)*0.6)</f>
        <v/>
      </c>
      <c r="N9" s="107">
        <f t="shared" si="0"/>
        <v>0</v>
      </c>
      <c r="O9" s="9"/>
    </row>
    <row r="10" spans="1:18">
      <c r="A10" s="156"/>
      <c r="B10" s="87"/>
      <c r="C10" s="88"/>
      <c r="D10" s="87"/>
      <c r="E10" s="88"/>
      <c r="F10" s="87"/>
      <c r="G10" s="88"/>
      <c r="H10" s="87"/>
      <c r="I10" s="88"/>
      <c r="J10" s="87"/>
      <c r="K10" s="88"/>
      <c r="L10" s="161" t="str">
        <f t="shared" si="1"/>
        <v/>
      </c>
      <c r="M10" s="162" t="str">
        <f t="shared" si="2"/>
        <v/>
      </c>
      <c r="N10" s="107">
        <f t="shared" si="0"/>
        <v>0</v>
      </c>
      <c r="O10" s="8"/>
    </row>
    <row r="11" spans="1:18" ht="17.100000000000001">
      <c r="A11" s="157"/>
      <c r="B11" s="87"/>
      <c r="C11" s="88"/>
      <c r="D11" s="87"/>
      <c r="E11" s="88"/>
      <c r="F11" s="87"/>
      <c r="G11" s="88"/>
      <c r="H11" s="87"/>
      <c r="I11" s="88"/>
      <c r="J11" s="87"/>
      <c r="K11" s="88"/>
      <c r="L11" s="161" t="str">
        <f t="shared" si="1"/>
        <v/>
      </c>
      <c r="M11" s="162" t="str">
        <f t="shared" si="2"/>
        <v/>
      </c>
      <c r="N11" s="107">
        <f t="shared" si="0"/>
        <v>0</v>
      </c>
      <c r="O11" s="9"/>
    </row>
    <row r="12" spans="1:18">
      <c r="A12" s="156"/>
      <c r="B12" s="87"/>
      <c r="C12" s="88"/>
      <c r="D12" s="87"/>
      <c r="E12" s="88"/>
      <c r="F12" s="87"/>
      <c r="G12" s="88"/>
      <c r="H12" s="87"/>
      <c r="I12" s="88"/>
      <c r="J12" s="89"/>
      <c r="K12" s="88"/>
      <c r="L12" s="161" t="str">
        <f t="shared" si="1"/>
        <v/>
      </c>
      <c r="M12" s="162" t="str">
        <f t="shared" si="2"/>
        <v/>
      </c>
      <c r="N12" s="107">
        <f t="shared" si="0"/>
        <v>0</v>
      </c>
      <c r="O12" s="8"/>
    </row>
    <row r="13" spans="1:18" ht="17.100000000000001">
      <c r="A13" s="157"/>
      <c r="B13" s="87"/>
      <c r="C13" s="88"/>
      <c r="D13" s="87"/>
      <c r="E13" s="88"/>
      <c r="F13" s="87"/>
      <c r="G13" s="88"/>
      <c r="H13" s="87"/>
      <c r="I13" s="88"/>
      <c r="J13" s="87"/>
      <c r="K13" s="88"/>
      <c r="L13" s="161" t="str">
        <f t="shared" si="1"/>
        <v/>
      </c>
      <c r="M13" s="162" t="str">
        <f t="shared" si="2"/>
        <v/>
      </c>
      <c r="N13" s="107">
        <f t="shared" si="0"/>
        <v>0</v>
      </c>
      <c r="O13" s="9"/>
    </row>
    <row r="14" spans="1:18">
      <c r="A14" s="156"/>
      <c r="B14" s="87"/>
      <c r="C14" s="88"/>
      <c r="D14" s="87"/>
      <c r="E14" s="88"/>
      <c r="F14" s="87"/>
      <c r="G14" s="88"/>
      <c r="H14" s="87"/>
      <c r="I14" s="88"/>
      <c r="J14" s="87"/>
      <c r="K14" s="88"/>
      <c r="L14" s="161" t="str">
        <f t="shared" si="1"/>
        <v/>
      </c>
      <c r="M14" s="162" t="str">
        <f t="shared" si="2"/>
        <v/>
      </c>
      <c r="N14" s="107">
        <f t="shared" si="0"/>
        <v>0</v>
      </c>
      <c r="O14" s="8"/>
    </row>
    <row r="15" spans="1:18">
      <c r="A15" s="157"/>
      <c r="B15" s="87"/>
      <c r="C15" s="88"/>
      <c r="D15" s="87"/>
      <c r="E15" s="88"/>
      <c r="F15" s="87"/>
      <c r="G15" s="88"/>
      <c r="H15" s="87"/>
      <c r="I15" s="88"/>
      <c r="J15" s="87"/>
      <c r="K15" s="88"/>
      <c r="L15" s="161" t="str">
        <f t="shared" si="1"/>
        <v/>
      </c>
      <c r="M15" s="162" t="str">
        <f t="shared" si="2"/>
        <v/>
      </c>
      <c r="N15" s="107">
        <f t="shared" si="0"/>
        <v>0</v>
      </c>
      <c r="O15" s="8"/>
    </row>
    <row r="16" spans="1:18">
      <c r="A16" s="156"/>
      <c r="B16" s="87"/>
      <c r="C16" s="88"/>
      <c r="D16" s="87"/>
      <c r="E16" s="88"/>
      <c r="F16" s="87"/>
      <c r="G16" s="88"/>
      <c r="H16" s="87"/>
      <c r="I16" s="88"/>
      <c r="J16" s="87"/>
      <c r="K16" s="90"/>
      <c r="L16" s="161" t="str">
        <f t="shared" si="1"/>
        <v/>
      </c>
      <c r="M16" s="162" t="str">
        <f t="shared" si="2"/>
        <v/>
      </c>
      <c r="N16" s="107">
        <f t="shared" si="0"/>
        <v>0</v>
      </c>
      <c r="O16" s="8"/>
    </row>
    <row r="17" spans="1:15">
      <c r="A17" s="157"/>
      <c r="B17" s="87"/>
      <c r="C17" s="88"/>
      <c r="D17" s="87"/>
      <c r="E17" s="88"/>
      <c r="F17" s="87"/>
      <c r="G17" s="88"/>
      <c r="H17" s="87"/>
      <c r="I17" s="88"/>
      <c r="J17" s="87"/>
      <c r="K17" s="90"/>
      <c r="L17" s="161" t="str">
        <f t="shared" si="1"/>
        <v/>
      </c>
      <c r="M17" s="162" t="str">
        <f t="shared" si="2"/>
        <v/>
      </c>
      <c r="N17" s="107">
        <f t="shared" si="0"/>
        <v>0</v>
      </c>
      <c r="O17" s="8"/>
    </row>
    <row r="18" spans="1:15">
      <c r="A18" s="156"/>
      <c r="B18" s="87"/>
      <c r="C18" s="88"/>
      <c r="D18" s="87"/>
      <c r="E18" s="88"/>
      <c r="F18" s="87"/>
      <c r="G18" s="88"/>
      <c r="H18" s="87"/>
      <c r="I18" s="88"/>
      <c r="J18" s="87"/>
      <c r="K18" s="88"/>
      <c r="L18" s="161" t="str">
        <f t="shared" si="1"/>
        <v/>
      </c>
      <c r="M18" s="162" t="str">
        <f t="shared" si="2"/>
        <v/>
      </c>
      <c r="N18" s="107">
        <f t="shared" si="0"/>
        <v>0</v>
      </c>
      <c r="O18" s="8"/>
    </row>
    <row r="19" spans="1:15">
      <c r="A19" s="157"/>
      <c r="B19" s="87"/>
      <c r="C19" s="88"/>
      <c r="D19" s="87"/>
      <c r="E19" s="88"/>
      <c r="F19" s="87"/>
      <c r="G19" s="88"/>
      <c r="H19" s="87"/>
      <c r="I19" s="88"/>
      <c r="J19" s="87"/>
      <c r="K19" s="88"/>
      <c r="L19" s="161" t="str">
        <f t="shared" si="1"/>
        <v/>
      </c>
      <c r="M19" s="162" t="str">
        <f t="shared" si="2"/>
        <v/>
      </c>
      <c r="N19" s="107">
        <f t="shared" si="0"/>
        <v>0</v>
      </c>
      <c r="O19" s="7"/>
    </row>
    <row r="20" spans="1:15">
      <c r="A20" s="156"/>
      <c r="B20" s="87"/>
      <c r="C20" s="88"/>
      <c r="D20" s="87"/>
      <c r="E20" s="88"/>
      <c r="F20" s="87"/>
      <c r="G20" s="88"/>
      <c r="H20" s="87"/>
      <c r="I20" s="88"/>
      <c r="J20" s="87"/>
      <c r="K20" s="88"/>
      <c r="L20" s="161" t="str">
        <f t="shared" si="1"/>
        <v/>
      </c>
      <c r="M20" s="162" t="str">
        <f t="shared" si="2"/>
        <v/>
      </c>
      <c r="N20" s="107">
        <f t="shared" si="0"/>
        <v>0</v>
      </c>
      <c r="O20" s="7"/>
    </row>
    <row r="21" spans="1:15">
      <c r="A21" s="157"/>
      <c r="B21" s="87"/>
      <c r="C21" s="88"/>
      <c r="D21" s="87"/>
      <c r="E21" s="88"/>
      <c r="F21" s="87"/>
      <c r="G21" s="88"/>
      <c r="H21" s="87"/>
      <c r="I21" s="88"/>
      <c r="J21" s="87"/>
      <c r="K21" s="88"/>
      <c r="L21" s="161" t="str">
        <f t="shared" si="1"/>
        <v/>
      </c>
      <c r="M21" s="162" t="str">
        <f t="shared" si="2"/>
        <v/>
      </c>
      <c r="N21" s="107">
        <f t="shared" si="0"/>
        <v>0</v>
      </c>
      <c r="O21" s="7"/>
    </row>
    <row r="22" spans="1:15">
      <c r="A22" s="156"/>
      <c r="B22" s="87"/>
      <c r="C22" s="88"/>
      <c r="D22" s="87"/>
      <c r="E22" s="88"/>
      <c r="F22" s="87"/>
      <c r="G22" s="88"/>
      <c r="H22" s="87"/>
      <c r="I22" s="88"/>
      <c r="J22" s="87"/>
      <c r="K22" s="88"/>
      <c r="L22" s="161" t="str">
        <f t="shared" si="1"/>
        <v/>
      </c>
      <c r="M22" s="162" t="str">
        <f t="shared" si="2"/>
        <v/>
      </c>
      <c r="N22" s="107">
        <f t="shared" si="0"/>
        <v>0</v>
      </c>
      <c r="O22" s="7"/>
    </row>
    <row r="23" spans="1:15">
      <c r="A23" s="157"/>
      <c r="B23" s="87"/>
      <c r="C23" s="88"/>
      <c r="D23" s="87"/>
      <c r="E23" s="88"/>
      <c r="F23" s="87"/>
      <c r="G23" s="88"/>
      <c r="H23" s="87"/>
      <c r="I23" s="88"/>
      <c r="J23" s="87"/>
      <c r="K23" s="88"/>
      <c r="L23" s="161" t="str">
        <f t="shared" si="1"/>
        <v/>
      </c>
      <c r="M23" s="162" t="str">
        <f t="shared" si="2"/>
        <v/>
      </c>
      <c r="N23" s="107">
        <f t="shared" si="0"/>
        <v>0</v>
      </c>
      <c r="O23" s="7"/>
    </row>
    <row r="24" spans="1:15">
      <c r="A24" s="156"/>
      <c r="B24" s="87"/>
      <c r="C24" s="88"/>
      <c r="D24" s="87"/>
      <c r="E24" s="88"/>
      <c r="F24" s="87"/>
      <c r="G24" s="88"/>
      <c r="H24" s="87"/>
      <c r="I24" s="88"/>
      <c r="J24" s="87"/>
      <c r="K24" s="88"/>
      <c r="L24" s="161" t="str">
        <f t="shared" si="1"/>
        <v/>
      </c>
      <c r="M24" s="162" t="str">
        <f t="shared" si="2"/>
        <v/>
      </c>
      <c r="N24" s="107">
        <f t="shared" si="0"/>
        <v>0</v>
      </c>
      <c r="O24" s="7"/>
    </row>
    <row r="25" spans="1:15">
      <c r="A25" s="157"/>
      <c r="B25" s="87"/>
      <c r="C25" s="88"/>
      <c r="D25" s="87"/>
      <c r="E25" s="88"/>
      <c r="F25" s="87"/>
      <c r="G25" s="88"/>
      <c r="H25" s="87"/>
      <c r="I25" s="88"/>
      <c r="J25" s="87"/>
      <c r="K25" s="88"/>
      <c r="L25" s="161" t="str">
        <f t="shared" si="1"/>
        <v/>
      </c>
      <c r="M25" s="162" t="str">
        <f t="shared" si="2"/>
        <v/>
      </c>
      <c r="N25" s="107">
        <f t="shared" si="0"/>
        <v>0</v>
      </c>
      <c r="O25" s="7"/>
    </row>
    <row r="26" spans="1:15" ht="14.1" thickBot="1">
      <c r="A26" s="158"/>
      <c r="B26" s="159"/>
      <c r="C26" s="160"/>
      <c r="D26" s="159"/>
      <c r="E26" s="160"/>
      <c r="F26" s="159"/>
      <c r="G26" s="160"/>
      <c r="H26" s="159"/>
      <c r="I26" s="160"/>
      <c r="J26" s="159"/>
      <c r="K26" s="160"/>
      <c r="L26" s="163" t="str">
        <f t="shared" si="1"/>
        <v/>
      </c>
      <c r="M26" s="164" t="str">
        <f t="shared" si="2"/>
        <v/>
      </c>
      <c r="N26" s="107">
        <f t="shared" si="0"/>
        <v>0</v>
      </c>
      <c r="O26" s="7"/>
    </row>
    <row r="27" spans="1:15">
      <c r="B27" s="13"/>
    </row>
    <row r="28" spans="1:15">
      <c r="H28" s="22"/>
    </row>
    <row r="29" spans="1:15">
      <c r="H29" s="22"/>
    </row>
  </sheetData>
  <sheetProtection password="8144" sheet="1" objects="1" scenarios="1"/>
  <mergeCells count="8">
    <mergeCell ref="P5:R5"/>
    <mergeCell ref="A1:N4"/>
    <mergeCell ref="B5:C5"/>
    <mergeCell ref="D5:E5"/>
    <mergeCell ref="F5:G5"/>
    <mergeCell ref="H5:I5"/>
    <mergeCell ref="J5:K5"/>
    <mergeCell ref="L5:M5"/>
  </mergeCells>
  <phoneticPr fontId="17"/>
  <pageMargins left="0.75" right="0.75" top="1" bottom="1" header="0.5" footer="0.5"/>
  <pageSetup orientation="portrait"/>
  <headerFooter alignWithMargins="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I134"/>
  <sheetViews>
    <sheetView topLeftCell="A15" zoomScaleNormal="100" zoomScaleSheetLayoutView="100" workbookViewId="0">
      <selection activeCell="L23" sqref="L23"/>
    </sheetView>
  </sheetViews>
  <sheetFormatPr defaultColWidth="10.85546875" defaultRowHeight="13.5" customHeight="1"/>
  <cols>
    <col min="1" max="1" width="5.28515625" style="3" customWidth="1"/>
    <col min="2" max="2" width="11.42578125" style="3" customWidth="1"/>
    <col min="3" max="3" width="9.42578125" style="3" bestFit="1" customWidth="1"/>
    <col min="4" max="4" width="10.42578125" style="3" customWidth="1"/>
    <col min="5" max="5" width="13.28515625" style="3" customWidth="1"/>
    <col min="6" max="6" width="11.42578125" style="3" customWidth="1"/>
    <col min="7" max="7" width="9.28515625" style="3" bestFit="1" customWidth="1"/>
    <col min="8" max="8" width="11" style="3" customWidth="1"/>
    <col min="9" max="9" width="6.7109375" style="3" customWidth="1"/>
    <col min="10" max="16384" width="10.85546875" style="3"/>
  </cols>
  <sheetData>
    <row r="1" spans="1:9" ht="13.5" customHeight="1" thickBot="1">
      <c r="A1" s="307"/>
      <c r="B1" s="308"/>
      <c r="C1" s="308"/>
      <c r="D1" s="308"/>
      <c r="E1" s="308"/>
      <c r="F1" s="308"/>
      <c r="G1" s="308"/>
      <c r="H1" s="308"/>
      <c r="I1" s="309"/>
    </row>
    <row r="2" spans="1:9" ht="13.5" customHeight="1">
      <c r="A2" s="388" t="s">
        <v>118</v>
      </c>
      <c r="B2" s="389"/>
      <c r="C2" s="389"/>
      <c r="D2" s="389"/>
      <c r="E2" s="389"/>
      <c r="F2" s="389"/>
      <c r="G2" s="389"/>
      <c r="H2" s="389"/>
      <c r="I2" s="390"/>
    </row>
    <row r="3" spans="1:9" ht="42.95" customHeight="1" thickBot="1">
      <c r="A3" s="391" t="s">
        <v>119</v>
      </c>
      <c r="B3" s="391"/>
      <c r="C3" s="391"/>
      <c r="D3" s="391"/>
      <c r="E3" s="391"/>
      <c r="F3" s="391"/>
      <c r="G3" s="391"/>
      <c r="H3" s="391"/>
      <c r="I3" s="408"/>
    </row>
    <row r="4" spans="1:9" ht="13.5" customHeight="1" thickBot="1"/>
    <row r="5" spans="1:9" ht="13.5" customHeight="1">
      <c r="B5" s="394" t="s">
        <v>7</v>
      </c>
      <c r="C5" s="395"/>
      <c r="D5" s="395"/>
      <c r="E5" s="64">
        <f>Calculator!H4</f>
        <v>1</v>
      </c>
      <c r="F5" s="409" t="s">
        <v>120</v>
      </c>
      <c r="G5" s="394"/>
      <c r="H5" s="64" t="str">
        <f>Calculator!C4</f>
        <v>RC</v>
      </c>
    </row>
    <row r="6" spans="1:9" ht="13.5" customHeight="1">
      <c r="B6" s="407" t="s">
        <v>121</v>
      </c>
      <c r="C6" s="397"/>
      <c r="D6" s="397"/>
      <c r="E6" s="65">
        <f>Calculator!O4</f>
        <v>45925</v>
      </c>
      <c r="F6" s="396" t="s">
        <v>122</v>
      </c>
      <c r="G6" s="397"/>
      <c r="H6" s="62">
        <f>'Dup Calc'!C4</f>
        <v>0</v>
      </c>
    </row>
    <row r="7" spans="1:9" ht="13.5" customHeight="1" thickBot="1">
      <c r="B7" s="414"/>
      <c r="C7" s="415"/>
      <c r="D7" s="415"/>
      <c r="E7" s="416"/>
      <c r="F7" s="386" t="s">
        <v>123</v>
      </c>
      <c r="G7" s="387"/>
      <c r="H7" s="63">
        <f>'Dup Calc'!X12</f>
        <v>0</v>
      </c>
    </row>
    <row r="8" spans="1:9" ht="13.5" customHeight="1" thickBot="1"/>
    <row r="9" spans="1:9" ht="13.5" customHeight="1">
      <c r="B9" s="398" t="str">
        <f>CONCATENATE("There ",'Dup Calc'!W106," ",'Dup Calc'!W104," ",'Dup Calc'!W107," of drinking data that ",'Dup Calc'!AA14, " not valid based upon duplicate entry.  ", 'Dup Calc'!Y19 )</f>
        <v xml:space="preserve">There are 4 days of drinking data that  not valid based upon duplicate entry.  </v>
      </c>
      <c r="C9" s="399"/>
      <c r="D9" s="399"/>
      <c r="E9" s="399"/>
      <c r="F9" s="399"/>
      <c r="G9" s="399"/>
      <c r="H9" s="400"/>
    </row>
    <row r="10" spans="1:9" ht="13.5" customHeight="1">
      <c r="B10" s="401"/>
      <c r="C10" s="402"/>
      <c r="D10" s="402"/>
      <c r="E10" s="402"/>
      <c r="F10" s="402"/>
      <c r="G10" s="402"/>
      <c r="H10" s="403"/>
    </row>
    <row r="11" spans="1:9" ht="13.5" customHeight="1">
      <c r="B11" s="401"/>
      <c r="C11" s="402"/>
      <c r="D11" s="402"/>
      <c r="E11" s="402"/>
      <c r="F11" s="402"/>
      <c r="G11" s="402"/>
      <c r="H11" s="403"/>
    </row>
    <row r="12" spans="1:9" ht="13.5" customHeight="1" thickBot="1">
      <c r="B12" s="404"/>
      <c r="C12" s="405"/>
      <c r="D12" s="405"/>
      <c r="E12" s="405"/>
      <c r="F12" s="405"/>
      <c r="G12" s="405"/>
      <c r="H12" s="406"/>
    </row>
    <row r="14" spans="1:9" ht="13.5" customHeight="1">
      <c r="B14" s="66" t="str">
        <f>Calculator!A8</f>
        <v>Drinking Day</v>
      </c>
      <c r="C14" s="66" t="str">
        <f>Calculator!C8</f>
        <v>Date</v>
      </c>
      <c r="D14" s="66" t="str">
        <f>Calculator!T8</f>
        <v xml:space="preserve"> Total SDUs</v>
      </c>
      <c r="F14" s="66" t="s">
        <v>20</v>
      </c>
      <c r="G14" s="66" t="s">
        <v>22</v>
      </c>
      <c r="H14" s="66" t="s">
        <v>28</v>
      </c>
    </row>
    <row r="15" spans="1:9" ht="13.5" customHeight="1">
      <c r="B15" s="67">
        <f>Calculator!A9</f>
        <v>-90</v>
      </c>
      <c r="C15" s="68">
        <f>Calculator!C9</f>
        <v>45835</v>
      </c>
      <c r="D15" s="71">
        <f>Calculator!T9</f>
        <v>0</v>
      </c>
      <c r="F15" s="67">
        <f>Calculator!A42</f>
        <v>-57</v>
      </c>
      <c r="G15" s="68">
        <f>Calculator!C42</f>
        <v>45868</v>
      </c>
      <c r="H15" s="71" t="str">
        <f>Calculator!T42</f>
        <v>M</v>
      </c>
    </row>
    <row r="16" spans="1:9" ht="13.5" customHeight="1">
      <c r="B16" s="67">
        <f>Calculator!A10</f>
        <v>-89</v>
      </c>
      <c r="C16" s="68">
        <f>Calculator!C10</f>
        <v>45836</v>
      </c>
      <c r="D16" s="71">
        <f>Calculator!T10</f>
        <v>0</v>
      </c>
      <c r="F16" s="67">
        <f>Calculator!A43</f>
        <v>-56</v>
      </c>
      <c r="G16" s="68">
        <f>Calculator!C43</f>
        <v>45869</v>
      </c>
      <c r="H16" s="71" t="str">
        <f>Calculator!T43</f>
        <v>M</v>
      </c>
    </row>
    <row r="17" spans="2:8" ht="13.5" customHeight="1">
      <c r="B17" s="67">
        <f>Calculator!A11</f>
        <v>-88</v>
      </c>
      <c r="C17" s="68">
        <f>Calculator!C11</f>
        <v>45837</v>
      </c>
      <c r="D17" s="71">
        <f>Calculator!T11</f>
        <v>0</v>
      </c>
      <c r="F17" s="67">
        <f>Calculator!A44</f>
        <v>-55</v>
      </c>
      <c r="G17" s="68">
        <f>Calculator!C44</f>
        <v>45870</v>
      </c>
      <c r="H17" s="71" t="str">
        <f>Calculator!T44</f>
        <v>M</v>
      </c>
    </row>
    <row r="18" spans="2:8" ht="13.5" customHeight="1">
      <c r="B18" s="67">
        <f>Calculator!A12</f>
        <v>-87</v>
      </c>
      <c r="C18" s="68">
        <f>Calculator!C12</f>
        <v>45838</v>
      </c>
      <c r="D18" s="71">
        <f>Calculator!T12</f>
        <v>0</v>
      </c>
      <c r="F18" s="67">
        <f>Calculator!A45</f>
        <v>-54</v>
      </c>
      <c r="G18" s="68">
        <f>Calculator!C45</f>
        <v>45871</v>
      </c>
      <c r="H18" s="71" t="str">
        <f>Calculator!T45</f>
        <v>M</v>
      </c>
    </row>
    <row r="19" spans="2:8" ht="13.5" customHeight="1">
      <c r="B19" s="67">
        <f>Calculator!A13</f>
        <v>-86</v>
      </c>
      <c r="C19" s="68">
        <f>Calculator!C13</f>
        <v>45839</v>
      </c>
      <c r="D19" s="71" t="str">
        <f>Calculator!T13</f>
        <v>M</v>
      </c>
      <c r="F19" s="67">
        <f>Calculator!A46</f>
        <v>-53</v>
      </c>
      <c r="G19" s="68">
        <f>Calculator!C46</f>
        <v>45872</v>
      </c>
      <c r="H19" s="71" t="str">
        <f>Calculator!T46</f>
        <v>M</v>
      </c>
    </row>
    <row r="20" spans="2:8" ht="13.5" customHeight="1">
      <c r="B20" s="67">
        <f>Calculator!A14</f>
        <v>-85</v>
      </c>
      <c r="C20" s="68">
        <f>Calculator!C14</f>
        <v>45840</v>
      </c>
      <c r="D20" s="71" t="str">
        <f>Calculator!T14</f>
        <v>M</v>
      </c>
      <c r="F20" s="67">
        <f>Calculator!A47</f>
        <v>-52</v>
      </c>
      <c r="G20" s="68">
        <f>Calculator!C47</f>
        <v>45873</v>
      </c>
      <c r="H20" s="71" t="str">
        <f>Calculator!T47</f>
        <v>M</v>
      </c>
    </row>
    <row r="21" spans="2:8" ht="13.5" customHeight="1">
      <c r="B21" s="67">
        <f>Calculator!A15</f>
        <v>-84</v>
      </c>
      <c r="C21" s="68">
        <f>Calculator!C15</f>
        <v>45841</v>
      </c>
      <c r="D21" s="71" t="str">
        <f>Calculator!T15</f>
        <v>M</v>
      </c>
      <c r="F21" s="67">
        <f>Calculator!A48</f>
        <v>-51</v>
      </c>
      <c r="G21" s="68">
        <f>Calculator!C48</f>
        <v>45874</v>
      </c>
      <c r="H21" s="71" t="str">
        <f>Calculator!T48</f>
        <v>M</v>
      </c>
    </row>
    <row r="22" spans="2:8" ht="13.5" customHeight="1">
      <c r="B22" s="67">
        <f>Calculator!A16</f>
        <v>-83</v>
      </c>
      <c r="C22" s="68">
        <f>Calculator!C16</f>
        <v>45842</v>
      </c>
      <c r="D22" s="71" t="str">
        <f>Calculator!T16</f>
        <v>M</v>
      </c>
      <c r="F22" s="67">
        <f>Calculator!A49</f>
        <v>-50</v>
      </c>
      <c r="G22" s="68">
        <f>Calculator!C49</f>
        <v>45875</v>
      </c>
      <c r="H22" s="71" t="str">
        <f>Calculator!T49</f>
        <v>M</v>
      </c>
    </row>
    <row r="23" spans="2:8" ht="13.5" customHeight="1">
      <c r="B23" s="67">
        <f>Calculator!A17</f>
        <v>-82</v>
      </c>
      <c r="C23" s="68">
        <f>Calculator!C17</f>
        <v>45843</v>
      </c>
      <c r="D23" s="71" t="str">
        <f>Calculator!T17</f>
        <v>M</v>
      </c>
      <c r="F23" s="67">
        <f>Calculator!A50</f>
        <v>-49</v>
      </c>
      <c r="G23" s="68">
        <f>Calculator!C50</f>
        <v>45876</v>
      </c>
      <c r="H23" s="71" t="str">
        <f>Calculator!T50</f>
        <v>M</v>
      </c>
    </row>
    <row r="24" spans="2:8" ht="13.5" customHeight="1">
      <c r="B24" s="67">
        <f>Calculator!A18</f>
        <v>-81</v>
      </c>
      <c r="C24" s="68">
        <f>Calculator!C18</f>
        <v>45844</v>
      </c>
      <c r="D24" s="71" t="str">
        <f>Calculator!T18</f>
        <v>M</v>
      </c>
      <c r="F24" s="67">
        <f>Calculator!A51</f>
        <v>-48</v>
      </c>
      <c r="G24" s="68">
        <f>Calculator!C51</f>
        <v>45877</v>
      </c>
      <c r="H24" s="71" t="str">
        <f>Calculator!T51</f>
        <v>M</v>
      </c>
    </row>
    <row r="25" spans="2:8" ht="13.5" customHeight="1">
      <c r="B25" s="67">
        <f>Calculator!A19</f>
        <v>-80</v>
      </c>
      <c r="C25" s="68">
        <f>Calculator!C19</f>
        <v>45845</v>
      </c>
      <c r="D25" s="71" t="str">
        <f>Calculator!T19</f>
        <v>M</v>
      </c>
      <c r="F25" s="67">
        <f>Calculator!A52</f>
        <v>-47</v>
      </c>
      <c r="G25" s="68">
        <f>Calculator!C52</f>
        <v>45878</v>
      </c>
      <c r="H25" s="71" t="str">
        <f>Calculator!T52</f>
        <v>M</v>
      </c>
    </row>
    <row r="26" spans="2:8" ht="13.5" customHeight="1">
      <c r="B26" s="67">
        <f>Calculator!A20</f>
        <v>-79</v>
      </c>
      <c r="C26" s="68">
        <f>Calculator!C20</f>
        <v>45846</v>
      </c>
      <c r="D26" s="71" t="str">
        <f>Calculator!T20</f>
        <v>M</v>
      </c>
      <c r="F26" s="67">
        <f>Calculator!A53</f>
        <v>-46</v>
      </c>
      <c r="G26" s="68">
        <f>Calculator!C53</f>
        <v>45879</v>
      </c>
      <c r="H26" s="71" t="str">
        <f>Calculator!T53</f>
        <v>M</v>
      </c>
    </row>
    <row r="27" spans="2:8" ht="13.5" customHeight="1">
      <c r="B27" s="67">
        <f>Calculator!A21</f>
        <v>-78</v>
      </c>
      <c r="C27" s="68">
        <f>Calculator!C21</f>
        <v>45847</v>
      </c>
      <c r="D27" s="71" t="str">
        <f>Calculator!T21</f>
        <v>M</v>
      </c>
      <c r="F27" s="67">
        <f>Calculator!A54</f>
        <v>-45</v>
      </c>
      <c r="G27" s="68">
        <f>Calculator!C54</f>
        <v>45880</v>
      </c>
      <c r="H27" s="71" t="str">
        <f>Calculator!T54</f>
        <v>M</v>
      </c>
    </row>
    <row r="28" spans="2:8" ht="13.5" customHeight="1">
      <c r="B28" s="67">
        <f>Calculator!A22</f>
        <v>-77</v>
      </c>
      <c r="C28" s="68">
        <f>Calculator!C22</f>
        <v>45848</v>
      </c>
      <c r="D28" s="71" t="str">
        <f>Calculator!T22</f>
        <v>M</v>
      </c>
      <c r="F28" s="67">
        <f>Calculator!A55</f>
        <v>-44</v>
      </c>
      <c r="G28" s="68">
        <f>Calculator!C55</f>
        <v>45881</v>
      </c>
      <c r="H28" s="71" t="str">
        <f>Calculator!T55</f>
        <v>M</v>
      </c>
    </row>
    <row r="29" spans="2:8" ht="13.5" customHeight="1">
      <c r="B29" s="67">
        <f>Calculator!A23</f>
        <v>-76</v>
      </c>
      <c r="C29" s="68">
        <f>Calculator!C23</f>
        <v>45849</v>
      </c>
      <c r="D29" s="71" t="str">
        <f>Calculator!T23</f>
        <v>M</v>
      </c>
      <c r="F29" s="67">
        <f>Calculator!A56</f>
        <v>-43</v>
      </c>
      <c r="G29" s="68">
        <f>Calculator!C56</f>
        <v>45882</v>
      </c>
      <c r="H29" s="71" t="str">
        <f>Calculator!T56</f>
        <v>M</v>
      </c>
    </row>
    <row r="30" spans="2:8" ht="13.5" customHeight="1">
      <c r="B30" s="67">
        <f>Calculator!A24</f>
        <v>-75</v>
      </c>
      <c r="C30" s="68">
        <f>Calculator!C24</f>
        <v>45850</v>
      </c>
      <c r="D30" s="71" t="str">
        <f>Calculator!T24</f>
        <v>M</v>
      </c>
      <c r="F30" s="67">
        <f>Calculator!A57</f>
        <v>-42</v>
      </c>
      <c r="G30" s="68">
        <f>Calculator!C57</f>
        <v>45883</v>
      </c>
      <c r="H30" s="71" t="str">
        <f>Calculator!T57</f>
        <v>M</v>
      </c>
    </row>
    <row r="31" spans="2:8" ht="13.5" customHeight="1">
      <c r="B31" s="67">
        <f>Calculator!A25</f>
        <v>-74</v>
      </c>
      <c r="C31" s="68">
        <f>Calculator!C25</f>
        <v>45851</v>
      </c>
      <c r="D31" s="71" t="str">
        <f>Calculator!T25</f>
        <v>M</v>
      </c>
      <c r="F31" s="67">
        <f>Calculator!A58</f>
        <v>-41</v>
      </c>
      <c r="G31" s="68">
        <f>Calculator!C58</f>
        <v>45884</v>
      </c>
      <c r="H31" s="71" t="str">
        <f>Calculator!T58</f>
        <v>M</v>
      </c>
    </row>
    <row r="32" spans="2:8" ht="13.5" customHeight="1">
      <c r="B32" s="67">
        <f>Calculator!A26</f>
        <v>-73</v>
      </c>
      <c r="C32" s="68">
        <f>Calculator!C26</f>
        <v>45852</v>
      </c>
      <c r="D32" s="71" t="str">
        <f>Calculator!T26</f>
        <v>M</v>
      </c>
      <c r="F32" s="67">
        <f>Calculator!A59</f>
        <v>-40</v>
      </c>
      <c r="G32" s="68">
        <f>Calculator!C59</f>
        <v>45885</v>
      </c>
      <c r="H32" s="71" t="str">
        <f>Calculator!T59</f>
        <v>M</v>
      </c>
    </row>
    <row r="33" spans="2:8" ht="13.5" customHeight="1">
      <c r="B33" s="67">
        <f>Calculator!A27</f>
        <v>-72</v>
      </c>
      <c r="C33" s="68">
        <f>Calculator!C27</f>
        <v>45853</v>
      </c>
      <c r="D33" s="71" t="str">
        <f>Calculator!T27</f>
        <v>M</v>
      </c>
      <c r="F33" s="67">
        <f>Calculator!A60</f>
        <v>-39</v>
      </c>
      <c r="G33" s="68">
        <f>Calculator!C60</f>
        <v>45886</v>
      </c>
      <c r="H33" s="71" t="str">
        <f>Calculator!T60</f>
        <v>M</v>
      </c>
    </row>
    <row r="34" spans="2:8" ht="13.5" customHeight="1">
      <c r="B34" s="67">
        <f>Calculator!A28</f>
        <v>-71</v>
      </c>
      <c r="C34" s="68">
        <f>Calculator!C28</f>
        <v>45854</v>
      </c>
      <c r="D34" s="71" t="str">
        <f>Calculator!T28</f>
        <v>M</v>
      </c>
      <c r="F34" s="67">
        <f>Calculator!A61</f>
        <v>-38</v>
      </c>
      <c r="G34" s="68">
        <f>Calculator!C61</f>
        <v>45887</v>
      </c>
      <c r="H34" s="71" t="str">
        <f>Calculator!T61</f>
        <v>M</v>
      </c>
    </row>
    <row r="35" spans="2:8" ht="13.5" customHeight="1">
      <c r="B35" s="67">
        <f>Calculator!A29</f>
        <v>-70</v>
      </c>
      <c r="C35" s="68">
        <f>Calculator!C29</f>
        <v>45855</v>
      </c>
      <c r="D35" s="71" t="str">
        <f>Calculator!T29</f>
        <v>M</v>
      </c>
      <c r="F35" s="67">
        <f>Calculator!A62</f>
        <v>-37</v>
      </c>
      <c r="G35" s="68">
        <f>Calculator!C62</f>
        <v>45888</v>
      </c>
      <c r="H35" s="71" t="str">
        <f>Calculator!T62</f>
        <v>M</v>
      </c>
    </row>
    <row r="36" spans="2:8" ht="13.5" customHeight="1">
      <c r="B36" s="67">
        <f>Calculator!A30</f>
        <v>-69</v>
      </c>
      <c r="C36" s="68">
        <f>Calculator!C30</f>
        <v>45856</v>
      </c>
      <c r="D36" s="71" t="str">
        <f>Calculator!T30</f>
        <v>M</v>
      </c>
      <c r="F36" s="67">
        <f>Calculator!A63</f>
        <v>-36</v>
      </c>
      <c r="G36" s="68">
        <f>Calculator!C63</f>
        <v>45889</v>
      </c>
      <c r="H36" s="71" t="str">
        <f>Calculator!T63</f>
        <v>M</v>
      </c>
    </row>
    <row r="37" spans="2:8" ht="13.5" customHeight="1">
      <c r="B37" s="67">
        <f>Calculator!A31</f>
        <v>-68</v>
      </c>
      <c r="C37" s="68">
        <f>Calculator!C31</f>
        <v>45857</v>
      </c>
      <c r="D37" s="71" t="str">
        <f>Calculator!T31</f>
        <v>M</v>
      </c>
      <c r="F37" s="67">
        <f>Calculator!A64</f>
        <v>-35</v>
      </c>
      <c r="G37" s="68">
        <f>Calculator!C64</f>
        <v>45890</v>
      </c>
      <c r="H37" s="71" t="str">
        <f>Calculator!T64</f>
        <v>M</v>
      </c>
    </row>
    <row r="38" spans="2:8" ht="13.5" customHeight="1">
      <c r="B38" s="67">
        <f>Calculator!A32</f>
        <v>-67</v>
      </c>
      <c r="C38" s="68">
        <f>Calculator!C32</f>
        <v>45858</v>
      </c>
      <c r="D38" s="71" t="str">
        <f>Calculator!T32</f>
        <v>M</v>
      </c>
      <c r="F38" s="67">
        <f>Calculator!A65</f>
        <v>-34</v>
      </c>
      <c r="G38" s="68">
        <f>Calculator!C65</f>
        <v>45891</v>
      </c>
      <c r="H38" s="71" t="str">
        <f>Calculator!T65</f>
        <v>M</v>
      </c>
    </row>
    <row r="39" spans="2:8" ht="13.5" customHeight="1">
      <c r="B39" s="67">
        <f>Calculator!A33</f>
        <v>-66</v>
      </c>
      <c r="C39" s="68">
        <f>Calculator!C33</f>
        <v>45859</v>
      </c>
      <c r="D39" s="71" t="str">
        <f>Calculator!T33</f>
        <v>M</v>
      </c>
      <c r="F39" s="67">
        <f>Calculator!A66</f>
        <v>-33</v>
      </c>
      <c r="G39" s="68">
        <f>Calculator!C66</f>
        <v>45892</v>
      </c>
      <c r="H39" s="71" t="str">
        <f>Calculator!T66</f>
        <v>M</v>
      </c>
    </row>
    <row r="40" spans="2:8" ht="13.5" customHeight="1">
      <c r="B40" s="67">
        <f>Calculator!A34</f>
        <v>-65</v>
      </c>
      <c r="C40" s="68">
        <f>Calculator!C34</f>
        <v>45860</v>
      </c>
      <c r="D40" s="71" t="str">
        <f>Calculator!T34</f>
        <v>M</v>
      </c>
      <c r="F40" s="67">
        <f>Calculator!A67</f>
        <v>-32</v>
      </c>
      <c r="G40" s="68">
        <f>Calculator!C67</f>
        <v>45893</v>
      </c>
      <c r="H40" s="71" t="str">
        <f>Calculator!T67</f>
        <v>M</v>
      </c>
    </row>
    <row r="41" spans="2:8" ht="13.5" customHeight="1">
      <c r="B41" s="67">
        <f>Calculator!A35</f>
        <v>-64</v>
      </c>
      <c r="C41" s="68">
        <f>Calculator!C35</f>
        <v>45861</v>
      </c>
      <c r="D41" s="71" t="str">
        <f>Calculator!T35</f>
        <v>M</v>
      </c>
      <c r="F41" s="67">
        <f>Calculator!A68</f>
        <v>-31</v>
      </c>
      <c r="G41" s="68">
        <f>Calculator!C68</f>
        <v>45894</v>
      </c>
      <c r="H41" s="71" t="str">
        <f>Calculator!T68</f>
        <v>M</v>
      </c>
    </row>
    <row r="42" spans="2:8" ht="13.5" customHeight="1">
      <c r="B42" s="67">
        <f>Calculator!A36</f>
        <v>-63</v>
      </c>
      <c r="C42" s="68">
        <f>Calculator!C36</f>
        <v>45862</v>
      </c>
      <c r="D42" s="71" t="str">
        <f>Calculator!T36</f>
        <v>M</v>
      </c>
      <c r="F42" s="67">
        <f>Calculator!A69</f>
        <v>-30</v>
      </c>
      <c r="G42" s="68">
        <f>Calculator!C69</f>
        <v>45895</v>
      </c>
      <c r="H42" s="71" t="str">
        <f>Calculator!T69</f>
        <v>M</v>
      </c>
    </row>
    <row r="43" spans="2:8" ht="13.5" customHeight="1">
      <c r="B43" s="67">
        <f>Calculator!A37</f>
        <v>-62</v>
      </c>
      <c r="C43" s="68">
        <f>Calculator!C37</f>
        <v>45863</v>
      </c>
      <c r="D43" s="71" t="str">
        <f>Calculator!T37</f>
        <v>M</v>
      </c>
      <c r="F43" s="67">
        <f>Calculator!A70</f>
        <v>-29</v>
      </c>
      <c r="G43" s="68">
        <f>Calculator!C70</f>
        <v>45896</v>
      </c>
      <c r="H43" s="71" t="str">
        <f>Calculator!T70</f>
        <v>M</v>
      </c>
    </row>
    <row r="44" spans="2:8" ht="13.5" customHeight="1">
      <c r="B44" s="67">
        <f>Calculator!A38</f>
        <v>-61</v>
      </c>
      <c r="C44" s="68">
        <f>Calculator!C38</f>
        <v>45864</v>
      </c>
      <c r="D44" s="71" t="str">
        <f>Calculator!T38</f>
        <v>M</v>
      </c>
      <c r="F44" s="67">
        <f>Calculator!A71</f>
        <v>-28</v>
      </c>
      <c r="G44" s="68">
        <f>Calculator!C71</f>
        <v>45897</v>
      </c>
      <c r="H44" s="71" t="str">
        <f>Calculator!T71</f>
        <v>M</v>
      </c>
    </row>
    <row r="45" spans="2:8" ht="13.5" customHeight="1">
      <c r="B45" s="67">
        <f>Calculator!A39</f>
        <v>-60</v>
      </c>
      <c r="C45" s="68">
        <f>Calculator!C39</f>
        <v>45865</v>
      </c>
      <c r="D45" s="71" t="str">
        <f>Calculator!T39</f>
        <v>M</v>
      </c>
      <c r="F45" s="67">
        <f>Calculator!A72</f>
        <v>-27</v>
      </c>
      <c r="G45" s="68">
        <f>Calculator!C72</f>
        <v>45898</v>
      </c>
      <c r="H45" s="71" t="str">
        <f>Calculator!T72</f>
        <v>M</v>
      </c>
    </row>
    <row r="46" spans="2:8" ht="13.5" customHeight="1">
      <c r="B46" s="67">
        <f>Calculator!A40</f>
        <v>-59</v>
      </c>
      <c r="C46" s="68">
        <f>Calculator!C40</f>
        <v>45866</v>
      </c>
      <c r="D46" s="71" t="str">
        <f>Calculator!T40</f>
        <v>M</v>
      </c>
      <c r="F46" s="67">
        <f>Calculator!A73</f>
        <v>-26</v>
      </c>
      <c r="G46" s="68">
        <f>Calculator!C73</f>
        <v>45899</v>
      </c>
      <c r="H46" s="71" t="str">
        <f>Calculator!T73</f>
        <v>M</v>
      </c>
    </row>
    <row r="47" spans="2:8" ht="13.5" customHeight="1">
      <c r="F47" s="60"/>
      <c r="G47" s="69"/>
      <c r="H47" s="61"/>
    </row>
    <row r="48" spans="2:8" ht="13.5" customHeight="1">
      <c r="B48" s="60"/>
      <c r="C48" s="69"/>
      <c r="D48" s="61"/>
      <c r="F48" s="60"/>
      <c r="G48" s="69"/>
      <c r="H48" s="61"/>
    </row>
    <row r="53" spans="1:9" ht="13.5" customHeight="1" thickBot="1"/>
    <row r="54" spans="1:9" ht="21" customHeight="1">
      <c r="A54" s="388" t="s">
        <v>118</v>
      </c>
      <c r="B54" s="389"/>
      <c r="C54" s="389"/>
      <c r="D54" s="389"/>
      <c r="E54" s="389"/>
      <c r="F54" s="389"/>
      <c r="G54" s="389"/>
      <c r="H54" s="389"/>
      <c r="I54" s="390"/>
    </row>
    <row r="55" spans="1:9" ht="33.950000000000003" customHeight="1" thickBot="1">
      <c r="A55" s="391" t="s">
        <v>119</v>
      </c>
      <c r="B55" s="392"/>
      <c r="C55" s="392"/>
      <c r="D55" s="392"/>
      <c r="E55" s="392"/>
      <c r="F55" s="392"/>
      <c r="G55" s="392"/>
      <c r="H55" s="392"/>
      <c r="I55" s="393"/>
    </row>
    <row r="56" spans="1:9" ht="13.5" customHeight="1" thickBot="1"/>
    <row r="57" spans="1:9" ht="13.5" customHeight="1">
      <c r="B57" s="394" t="str">
        <f>B5</f>
        <v>Subject ID</v>
      </c>
      <c r="C57" s="395"/>
      <c r="D57" s="395"/>
      <c r="E57" s="70">
        <f>E5</f>
        <v>1</v>
      </c>
      <c r="F57" s="395" t="str">
        <f>F5</f>
        <v xml:space="preserve">SDU calculation </v>
      </c>
      <c r="G57" s="395"/>
      <c r="H57" s="64" t="str">
        <f>H5</f>
        <v>RC</v>
      </c>
    </row>
    <row r="58" spans="1:9" ht="13.5" customHeight="1">
      <c r="B58" s="396" t="str">
        <f>B6</f>
        <v>Date of TLFB assessment</v>
      </c>
      <c r="C58" s="397"/>
      <c r="D58" s="397"/>
      <c r="E58" s="235">
        <f>E6</f>
        <v>45925</v>
      </c>
      <c r="F58" s="397" t="str">
        <f>F6</f>
        <v xml:space="preserve">Duplicate entry </v>
      </c>
      <c r="G58" s="397"/>
      <c r="H58" s="62">
        <f>H6</f>
        <v>0</v>
      </c>
    </row>
    <row r="59" spans="1:9" ht="13.5" customHeight="1" thickBot="1">
      <c r="B59" s="236"/>
      <c r="C59" s="237"/>
      <c r="D59" s="237"/>
      <c r="E59" s="238"/>
      <c r="F59" s="387" t="str">
        <f>F7</f>
        <v># of invalid data fields</v>
      </c>
      <c r="G59" s="387"/>
      <c r="H59" s="63">
        <f>H7</f>
        <v>0</v>
      </c>
    </row>
    <row r="61" spans="1:9" ht="13.5" customHeight="1">
      <c r="B61" s="67" t="s">
        <v>20</v>
      </c>
      <c r="C61" s="67" t="s">
        <v>22</v>
      </c>
      <c r="D61" s="67" t="s">
        <v>28</v>
      </c>
    </row>
    <row r="62" spans="1:9" ht="13.5" customHeight="1">
      <c r="B62" s="67">
        <f>Calculator!A73</f>
        <v>-26</v>
      </c>
      <c r="C62" s="68">
        <f>Calculator!C73</f>
        <v>45899</v>
      </c>
      <c r="D62" s="71" t="str">
        <f>Calculator!T73</f>
        <v>M</v>
      </c>
    </row>
    <row r="63" spans="1:9" ht="13.5" customHeight="1">
      <c r="B63" s="67">
        <f>Calculator!A74</f>
        <v>-25</v>
      </c>
      <c r="C63" s="68">
        <f>Calculator!C74</f>
        <v>45900</v>
      </c>
      <c r="D63" s="71" t="str">
        <f>Calculator!T74</f>
        <v>M</v>
      </c>
    </row>
    <row r="64" spans="1:9" ht="13.5" customHeight="1">
      <c r="B64" s="67">
        <f>Calculator!A75</f>
        <v>-24</v>
      </c>
      <c r="C64" s="68">
        <f>Calculator!C75</f>
        <v>45901</v>
      </c>
      <c r="D64" s="71" t="str">
        <f>Calculator!T75</f>
        <v>M</v>
      </c>
    </row>
    <row r="65" spans="2:4" ht="13.5" customHeight="1">
      <c r="B65" s="67">
        <f>Calculator!A76</f>
        <v>-23</v>
      </c>
      <c r="C65" s="68">
        <f>Calculator!C76</f>
        <v>45902</v>
      </c>
      <c r="D65" s="71" t="str">
        <f>Calculator!T76</f>
        <v>M</v>
      </c>
    </row>
    <row r="66" spans="2:4" ht="13.5" customHeight="1">
      <c r="B66" s="67">
        <f>Calculator!A77</f>
        <v>-22</v>
      </c>
      <c r="C66" s="68">
        <f>Calculator!C77</f>
        <v>45903</v>
      </c>
      <c r="D66" s="71" t="str">
        <f>Calculator!T77</f>
        <v>M</v>
      </c>
    </row>
    <row r="67" spans="2:4" ht="13.5" customHeight="1">
      <c r="B67" s="67">
        <f>Calculator!A78</f>
        <v>-21</v>
      </c>
      <c r="C67" s="68">
        <f>Calculator!C78</f>
        <v>45904</v>
      </c>
      <c r="D67" s="71" t="str">
        <f>Calculator!T78</f>
        <v>M</v>
      </c>
    </row>
    <row r="68" spans="2:4" ht="13.5" customHeight="1">
      <c r="B68" s="67">
        <f>Calculator!A79</f>
        <v>-20</v>
      </c>
      <c r="C68" s="68">
        <f>Calculator!C79</f>
        <v>45905</v>
      </c>
      <c r="D68" s="71" t="str">
        <f>Calculator!T79</f>
        <v>M</v>
      </c>
    </row>
    <row r="69" spans="2:4" ht="13.5" customHeight="1">
      <c r="B69" s="67">
        <f>Calculator!A80</f>
        <v>-19</v>
      </c>
      <c r="C69" s="68">
        <f>Calculator!C80</f>
        <v>45906</v>
      </c>
      <c r="D69" s="71" t="str">
        <f>Calculator!T80</f>
        <v>M</v>
      </c>
    </row>
    <row r="70" spans="2:4" ht="13.5" customHeight="1">
      <c r="B70" s="67">
        <f>Calculator!A81</f>
        <v>-18</v>
      </c>
      <c r="C70" s="68">
        <f>Calculator!C81</f>
        <v>45907</v>
      </c>
      <c r="D70" s="71" t="str">
        <f>Calculator!T81</f>
        <v>M</v>
      </c>
    </row>
    <row r="71" spans="2:4" ht="13.5" customHeight="1">
      <c r="B71" s="67">
        <f>Calculator!A82</f>
        <v>-17</v>
      </c>
      <c r="C71" s="68">
        <f>Calculator!C82</f>
        <v>45908</v>
      </c>
      <c r="D71" s="71" t="str">
        <f>Calculator!T82</f>
        <v>M</v>
      </c>
    </row>
    <row r="72" spans="2:4" ht="13.5" customHeight="1">
      <c r="B72" s="67">
        <f>Calculator!A83</f>
        <v>-16</v>
      </c>
      <c r="C72" s="68">
        <f>Calculator!C83</f>
        <v>45909</v>
      </c>
      <c r="D72" s="71" t="str">
        <f>Calculator!T83</f>
        <v>M</v>
      </c>
    </row>
    <row r="73" spans="2:4" ht="13.5" customHeight="1">
      <c r="B73" s="67">
        <f>Calculator!A84</f>
        <v>-15</v>
      </c>
      <c r="C73" s="68">
        <f>Calculator!C84</f>
        <v>45910</v>
      </c>
      <c r="D73" s="71" t="str">
        <f>Calculator!T84</f>
        <v>M</v>
      </c>
    </row>
    <row r="74" spans="2:4" ht="13.5" customHeight="1">
      <c r="B74" s="67">
        <f>Calculator!A85</f>
        <v>-14</v>
      </c>
      <c r="C74" s="68">
        <f>Calculator!C85</f>
        <v>45911</v>
      </c>
      <c r="D74" s="71" t="str">
        <f>Calculator!T85</f>
        <v>M</v>
      </c>
    </row>
    <row r="75" spans="2:4" ht="13.5" customHeight="1">
      <c r="B75" s="67">
        <f>Calculator!A86</f>
        <v>-13</v>
      </c>
      <c r="C75" s="68">
        <f>Calculator!C86</f>
        <v>45912</v>
      </c>
      <c r="D75" s="71" t="str">
        <f>Calculator!T86</f>
        <v>M</v>
      </c>
    </row>
    <row r="76" spans="2:4" ht="13.5" customHeight="1">
      <c r="B76" s="67">
        <f>Calculator!A87</f>
        <v>-12</v>
      </c>
      <c r="C76" s="68">
        <f>Calculator!C87</f>
        <v>45913</v>
      </c>
      <c r="D76" s="71" t="str">
        <f>Calculator!T87</f>
        <v>M</v>
      </c>
    </row>
    <row r="77" spans="2:4" ht="13.5" customHeight="1">
      <c r="B77" s="67">
        <f>Calculator!A88</f>
        <v>-11</v>
      </c>
      <c r="C77" s="68">
        <f>Calculator!C88</f>
        <v>45914</v>
      </c>
      <c r="D77" s="71" t="str">
        <f>Calculator!T88</f>
        <v>M</v>
      </c>
    </row>
    <row r="78" spans="2:4" ht="13.5" customHeight="1">
      <c r="B78" s="67">
        <f>Calculator!A89</f>
        <v>-10</v>
      </c>
      <c r="C78" s="68">
        <f>Calculator!C89</f>
        <v>45915</v>
      </c>
      <c r="D78" s="71" t="str">
        <f>Calculator!T89</f>
        <v>M</v>
      </c>
    </row>
    <row r="79" spans="2:4" ht="13.5" customHeight="1">
      <c r="B79" s="67">
        <f>Calculator!A90</f>
        <v>-9</v>
      </c>
      <c r="C79" s="68">
        <f>Calculator!C90</f>
        <v>45916</v>
      </c>
      <c r="D79" s="71" t="str">
        <f>Calculator!T90</f>
        <v>M</v>
      </c>
    </row>
    <row r="80" spans="2:4" ht="13.5" customHeight="1">
      <c r="B80" s="67">
        <f>Calculator!A91</f>
        <v>-8</v>
      </c>
      <c r="C80" s="68">
        <f>Calculator!C91</f>
        <v>45917</v>
      </c>
      <c r="D80" s="71" t="str">
        <f>Calculator!T91</f>
        <v>M</v>
      </c>
    </row>
    <row r="81" spans="2:8" ht="13.5" customHeight="1">
      <c r="B81" s="67">
        <f>Calculator!A92</f>
        <v>-7</v>
      </c>
      <c r="C81" s="68">
        <f>Calculator!C92</f>
        <v>45918</v>
      </c>
      <c r="D81" s="71" t="str">
        <f>Calculator!T92</f>
        <v>M</v>
      </c>
    </row>
    <row r="82" spans="2:8" ht="13.5" customHeight="1">
      <c r="B82" s="67">
        <f>Calculator!A93</f>
        <v>-6</v>
      </c>
      <c r="C82" s="68">
        <f>Calculator!C93</f>
        <v>45919</v>
      </c>
      <c r="D82" s="71" t="str">
        <f>Calculator!T93</f>
        <v>M</v>
      </c>
    </row>
    <row r="83" spans="2:8" ht="13.5" customHeight="1">
      <c r="B83" s="67">
        <f>Calculator!A94</f>
        <v>-5</v>
      </c>
      <c r="C83" s="68">
        <f>Calculator!C94</f>
        <v>45920</v>
      </c>
      <c r="D83" s="71" t="str">
        <f>Calculator!T94</f>
        <v>M</v>
      </c>
    </row>
    <row r="84" spans="2:8" ht="13.5" customHeight="1">
      <c r="B84" s="67">
        <f>Calculator!A95</f>
        <v>-4</v>
      </c>
      <c r="C84" s="68">
        <f>Calculator!C95</f>
        <v>45921</v>
      </c>
      <c r="D84" s="71" t="str">
        <f>Calculator!T95</f>
        <v>M</v>
      </c>
    </row>
    <row r="85" spans="2:8" ht="13.5" customHeight="1">
      <c r="B85" s="67">
        <f>Calculator!A96</f>
        <v>-3</v>
      </c>
      <c r="C85" s="68">
        <f>Calculator!C96</f>
        <v>45922</v>
      </c>
      <c r="D85" s="71" t="str">
        <f>Calculator!T96</f>
        <v>M</v>
      </c>
    </row>
    <row r="86" spans="2:8" ht="13.5" customHeight="1">
      <c r="B86" s="67">
        <f>Calculator!A97</f>
        <v>-2</v>
      </c>
      <c r="C86" s="68">
        <f>Calculator!C97</f>
        <v>45923</v>
      </c>
      <c r="D86" s="71" t="str">
        <f>Calculator!T97</f>
        <v>M</v>
      </c>
    </row>
    <row r="87" spans="2:8" ht="13.5" customHeight="1">
      <c r="B87" s="67">
        <f>Calculator!A98</f>
        <v>-1</v>
      </c>
      <c r="C87" s="68">
        <f>Calculator!C98</f>
        <v>45924</v>
      </c>
      <c r="D87" s="71" t="str">
        <f>Calculator!T98</f>
        <v>M</v>
      </c>
    </row>
    <row r="88" spans="2:8" ht="13.5" customHeight="1">
      <c r="B88" s="60"/>
      <c r="C88" s="69"/>
      <c r="D88" s="306"/>
    </row>
    <row r="89" spans="2:8" ht="13.5" customHeight="1">
      <c r="B89" s="60"/>
      <c r="C89" s="69"/>
      <c r="D89" s="306"/>
    </row>
    <row r="90" spans="2:8" ht="13.5" customHeight="1">
      <c r="B90" s="60"/>
      <c r="C90" s="69"/>
      <c r="D90" s="306"/>
    </row>
    <row r="91" spans="2:8" ht="13.5" customHeight="1">
      <c r="B91" s="60"/>
      <c r="C91" s="69"/>
      <c r="D91" s="306"/>
    </row>
    <row r="92" spans="2:8" ht="13.5" customHeight="1">
      <c r="B92" s="60"/>
      <c r="C92" s="69"/>
      <c r="D92" s="306"/>
    </row>
    <row r="93" spans="2:8" ht="13.5" customHeight="1">
      <c r="B93" s="60"/>
      <c r="C93" s="69"/>
      <c r="D93" s="306"/>
    </row>
    <row r="94" spans="2:8" ht="13.5" customHeight="1">
      <c r="B94" s="60"/>
      <c r="C94" s="69"/>
      <c r="D94" s="306"/>
      <c r="F94"/>
      <c r="G94"/>
      <c r="H94"/>
    </row>
    <row r="95" spans="2:8" ht="13.5" customHeight="1">
      <c r="B95" s="60"/>
      <c r="C95" s="69"/>
      <c r="D95" s="306"/>
      <c r="F95"/>
      <c r="G95"/>
      <c r="H95"/>
    </row>
    <row r="96" spans="2:8" ht="13.5" customHeight="1">
      <c r="B96" s="60"/>
      <c r="C96" s="69"/>
      <c r="D96" s="306"/>
      <c r="F96"/>
      <c r="G96"/>
      <c r="H96"/>
    </row>
    <row r="97" spans="1:9" ht="13.5" customHeight="1">
      <c r="B97" s="60"/>
      <c r="C97" s="69"/>
      <c r="D97" s="306"/>
      <c r="F97"/>
      <c r="G97"/>
      <c r="H97"/>
    </row>
    <row r="98" spans="1:9" ht="13.5" customHeight="1">
      <c r="B98" s="60"/>
      <c r="C98" s="69"/>
      <c r="D98" s="306"/>
      <c r="F98"/>
      <c r="G98"/>
      <c r="H98"/>
    </row>
    <row r="99" spans="1:9" ht="13.5" customHeight="1">
      <c r="B99" s="60"/>
      <c r="C99" s="69"/>
      <c r="D99" s="306"/>
      <c r="F99"/>
      <c r="G99"/>
      <c r="H99"/>
    </row>
    <row r="100" spans="1:9" ht="13.5" customHeight="1">
      <c r="B100" s="60"/>
      <c r="C100" s="69"/>
      <c r="D100" s="306"/>
      <c r="F100"/>
      <c r="G100"/>
      <c r="H100"/>
    </row>
    <row r="101" spans="1:9" ht="13.5" customHeight="1">
      <c r="B101" s="60"/>
      <c r="C101" s="69"/>
      <c r="D101" s="306"/>
      <c r="F101"/>
      <c r="G101"/>
      <c r="H101"/>
    </row>
    <row r="102" spans="1:9" ht="13.5" customHeight="1">
      <c r="B102" s="60"/>
      <c r="C102" s="69"/>
      <c r="D102" s="306"/>
      <c r="F102"/>
      <c r="G102"/>
      <c r="H102"/>
    </row>
    <row r="105" spans="1:9" ht="12" customHeight="1">
      <c r="A105"/>
      <c r="B105"/>
      <c r="C105"/>
      <c r="D105"/>
      <c r="E105"/>
      <c r="F105"/>
      <c r="G105"/>
      <c r="H105"/>
      <c r="I105"/>
    </row>
    <row r="106" spans="1:9" ht="13.5" customHeight="1">
      <c r="A106"/>
      <c r="B106"/>
      <c r="C106"/>
      <c r="D106"/>
      <c r="E106"/>
      <c r="F106"/>
      <c r="G106"/>
      <c r="H106"/>
      <c r="I106"/>
    </row>
    <row r="107" spans="1:9" ht="13.5" customHeight="1">
      <c r="A107"/>
      <c r="B107"/>
      <c r="C107"/>
      <c r="D107"/>
      <c r="E107"/>
      <c r="F107"/>
      <c r="G107"/>
      <c r="H107"/>
      <c r="I107"/>
    </row>
    <row r="108" spans="1:9" ht="13.5" customHeight="1">
      <c r="A108"/>
      <c r="B108"/>
      <c r="C108"/>
      <c r="D108"/>
      <c r="E108"/>
      <c r="F108"/>
      <c r="G108"/>
      <c r="H108"/>
      <c r="I108"/>
    </row>
    <row r="109" spans="1:9" ht="13.5" customHeight="1">
      <c r="A109"/>
      <c r="B109"/>
      <c r="C109"/>
      <c r="D109"/>
      <c r="E109"/>
      <c r="F109"/>
      <c r="G109"/>
      <c r="H109"/>
      <c r="I109"/>
    </row>
    <row r="110" spans="1:9" ht="13.5" customHeight="1">
      <c r="A110"/>
      <c r="B110"/>
      <c r="C110"/>
      <c r="D110"/>
      <c r="E110"/>
      <c r="F110"/>
      <c r="G110"/>
      <c r="H110"/>
      <c r="I110"/>
    </row>
    <row r="111" spans="1:9" ht="13.5" customHeight="1">
      <c r="A111"/>
      <c r="B111"/>
      <c r="C111"/>
      <c r="D111"/>
      <c r="E111"/>
      <c r="F111"/>
      <c r="G111"/>
      <c r="H111"/>
      <c r="I111"/>
    </row>
    <row r="112" spans="1:9" ht="13.5" customHeight="1">
      <c r="A112"/>
      <c r="B112"/>
      <c r="C112"/>
      <c r="D112"/>
      <c r="E112"/>
      <c r="F112"/>
      <c r="G112"/>
      <c r="H112"/>
      <c r="I112"/>
    </row>
    <row r="113" spans="1:9" ht="13.5" customHeight="1">
      <c r="A113"/>
      <c r="B113"/>
      <c r="C113"/>
      <c r="D113"/>
      <c r="E113"/>
      <c r="F113"/>
      <c r="G113"/>
      <c r="H113"/>
      <c r="I113"/>
    </row>
    <row r="114" spans="1:9" ht="13.5" customHeight="1">
      <c r="A114"/>
      <c r="B114"/>
      <c r="C114"/>
      <c r="D114"/>
      <c r="E114"/>
      <c r="F114"/>
      <c r="G114"/>
      <c r="H114"/>
      <c r="I114"/>
    </row>
    <row r="115" spans="1:9" ht="13.5" customHeight="1">
      <c r="A115"/>
      <c r="B115"/>
      <c r="C115"/>
      <c r="D115"/>
      <c r="E115"/>
      <c r="F115"/>
      <c r="G115"/>
      <c r="H115"/>
      <c r="I115"/>
    </row>
    <row r="116" spans="1:9" ht="13.5" customHeight="1">
      <c r="A116"/>
      <c r="B116"/>
      <c r="C116"/>
      <c r="D116"/>
      <c r="E116"/>
      <c r="F116"/>
      <c r="G116"/>
      <c r="H116"/>
      <c r="I116"/>
    </row>
    <row r="117" spans="1:9" ht="13.5" customHeight="1">
      <c r="A117"/>
      <c r="B117"/>
      <c r="C117"/>
      <c r="D117"/>
      <c r="E117"/>
      <c r="F117"/>
      <c r="G117"/>
      <c r="H117"/>
      <c r="I117"/>
    </row>
    <row r="118" spans="1:9" ht="13.5" customHeight="1">
      <c r="A118"/>
      <c r="B118"/>
      <c r="C118"/>
      <c r="D118"/>
      <c r="E118"/>
      <c r="F118"/>
      <c r="G118"/>
      <c r="H118"/>
      <c r="I118"/>
    </row>
    <row r="119" spans="1:9" ht="13.5" customHeight="1">
      <c r="A119"/>
      <c r="B119"/>
      <c r="C119"/>
      <c r="D119"/>
      <c r="E119"/>
      <c r="F119"/>
      <c r="G119"/>
      <c r="H119"/>
      <c r="I119"/>
    </row>
    <row r="120" spans="1:9" ht="13.5" customHeight="1">
      <c r="A120"/>
      <c r="B120"/>
      <c r="C120"/>
      <c r="D120"/>
      <c r="E120"/>
      <c r="F120"/>
      <c r="G120"/>
      <c r="H120"/>
      <c r="I120"/>
    </row>
    <row r="121" spans="1:9" ht="13.5" customHeight="1">
      <c r="A121"/>
      <c r="B121"/>
      <c r="C121"/>
      <c r="D121"/>
      <c r="E121"/>
      <c r="F121"/>
      <c r="G121"/>
      <c r="H121"/>
      <c r="I121"/>
    </row>
    <row r="122" spans="1:9" ht="13.5" customHeight="1">
      <c r="A122"/>
      <c r="B122"/>
      <c r="C122"/>
      <c r="D122"/>
      <c r="E122"/>
      <c r="F122"/>
      <c r="G122"/>
      <c r="H122"/>
      <c r="I122"/>
    </row>
    <row r="123" spans="1:9" ht="13.5" customHeight="1">
      <c r="A123"/>
      <c r="B123"/>
      <c r="C123"/>
      <c r="D123"/>
      <c r="E123"/>
      <c r="F123"/>
      <c r="G123"/>
      <c r="H123"/>
      <c r="I123"/>
    </row>
    <row r="124" spans="1:9" ht="13.5" customHeight="1">
      <c r="A124"/>
      <c r="B124"/>
      <c r="C124"/>
      <c r="D124"/>
      <c r="E124"/>
      <c r="F124"/>
      <c r="G124"/>
      <c r="H124"/>
      <c r="I124"/>
    </row>
    <row r="125" spans="1:9" ht="13.5" customHeight="1">
      <c r="A125"/>
      <c r="B125"/>
      <c r="C125"/>
      <c r="D125"/>
      <c r="E125"/>
      <c r="F125"/>
      <c r="G125"/>
      <c r="H125"/>
      <c r="I125"/>
    </row>
    <row r="126" spans="1:9" ht="13.5" customHeight="1">
      <c r="A126"/>
      <c r="B126"/>
      <c r="C126"/>
      <c r="D126"/>
      <c r="E126"/>
      <c r="F126"/>
      <c r="G126"/>
      <c r="H126"/>
      <c r="I126"/>
    </row>
    <row r="127" spans="1:9" ht="13.5" customHeight="1">
      <c r="A127"/>
      <c r="B127"/>
      <c r="C127"/>
      <c r="D127"/>
      <c r="E127"/>
      <c r="F127"/>
      <c r="G127"/>
      <c r="H127"/>
      <c r="I127"/>
    </row>
    <row r="128" spans="1:9" ht="13.5" customHeight="1">
      <c r="A128"/>
      <c r="B128"/>
      <c r="C128"/>
      <c r="D128"/>
      <c r="E128"/>
      <c r="F128"/>
      <c r="G128"/>
      <c r="H128"/>
      <c r="I128"/>
    </row>
    <row r="129" spans="1:9" ht="13.5" customHeight="1">
      <c r="A129"/>
      <c r="B129"/>
      <c r="C129"/>
      <c r="D129"/>
      <c r="E129"/>
      <c r="F129"/>
      <c r="G129"/>
      <c r="H129"/>
      <c r="I129"/>
    </row>
    <row r="130" spans="1:9" ht="13.5" customHeight="1">
      <c r="A130"/>
      <c r="B130"/>
      <c r="C130"/>
      <c r="D130"/>
      <c r="E130"/>
      <c r="F130"/>
      <c r="G130"/>
      <c r="H130"/>
      <c r="I130"/>
    </row>
    <row r="131" spans="1:9" ht="13.5" customHeight="1">
      <c r="A131"/>
      <c r="B131"/>
      <c r="C131"/>
      <c r="D131"/>
      <c r="E131"/>
      <c r="F131"/>
      <c r="G131"/>
      <c r="H131"/>
      <c r="I131"/>
    </row>
    <row r="132" spans="1:9" ht="13.5" customHeight="1">
      <c r="A132"/>
      <c r="B132"/>
      <c r="C132"/>
      <c r="D132"/>
      <c r="E132"/>
      <c r="F132"/>
      <c r="G132"/>
      <c r="H132"/>
      <c r="I132"/>
    </row>
    <row r="133" spans="1:9" ht="13.5" customHeight="1">
      <c r="A133"/>
      <c r="B133"/>
      <c r="C133"/>
      <c r="D133"/>
      <c r="E133"/>
      <c r="F133"/>
      <c r="G133"/>
      <c r="H133"/>
      <c r="I133"/>
    </row>
    <row r="134" spans="1:9" ht="13.5" customHeight="1">
      <c r="A134"/>
      <c r="B134"/>
      <c r="C134"/>
      <c r="D134"/>
      <c r="E134"/>
      <c r="F134"/>
      <c r="G134"/>
      <c r="H134"/>
      <c r="I134"/>
    </row>
  </sheetData>
  <sheetProtection algorithmName="SHA-512" hashValue="GVJPA2e8KH4km5ZVTAYFL6lqHUOPkYzK0DgiyhHQXEtG+E2xidQC3NM3THy5+b/PQ8Q6aIqm9hPb0TFWLeQQTg==" saltValue="ueRbO+06W6UTEIFZi49NXg==" spinCount="100000" sheet="1" objects="1" scenarios="1"/>
  <mergeCells count="16">
    <mergeCell ref="A2:I2"/>
    <mergeCell ref="B6:D6"/>
    <mergeCell ref="B5:D5"/>
    <mergeCell ref="A3:I3"/>
    <mergeCell ref="F5:G5"/>
    <mergeCell ref="F6:G6"/>
    <mergeCell ref="F7:G7"/>
    <mergeCell ref="F59:G59"/>
    <mergeCell ref="A54:I54"/>
    <mergeCell ref="A55:I55"/>
    <mergeCell ref="B57:D57"/>
    <mergeCell ref="F57:G57"/>
    <mergeCell ref="B58:D58"/>
    <mergeCell ref="B7:E7"/>
    <mergeCell ref="F58:G58"/>
    <mergeCell ref="B9:H12"/>
  </mergeCells>
  <phoneticPr fontId="17" type="noConversion"/>
  <conditionalFormatting sqref="B9">
    <cfRule type="cellIs" dxfId="0" priority="1" stopIfTrue="1" operator="equal">
      <formula>"M"</formula>
    </cfRule>
  </conditionalFormatting>
  <pageMargins left="0.75" right="0.75" top="1" bottom="1" header="0.5" footer="0.5"/>
  <pageSetup scale="94" fitToHeight="3" orientation="portrait"/>
  <headerFooter alignWithMargins="0">
    <oddFooter>Page &amp;P</oddFooter>
  </headerFooter>
  <rowBreaks count="1" manualBreakCount="1">
    <brk id="5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8"/>
  <sheetViews>
    <sheetView workbookViewId="0">
      <selection activeCell="I75" sqref="I75"/>
    </sheetView>
  </sheetViews>
  <sheetFormatPr defaultColWidth="8.85546875" defaultRowHeight="12.95"/>
  <cols>
    <col min="1" max="1" width="13.42578125" style="60" customWidth="1"/>
    <col min="2" max="2" width="12" style="60" customWidth="1"/>
    <col min="3" max="3" width="11.42578125" style="60" customWidth="1"/>
    <col min="4" max="4" width="9.140625" style="175" customWidth="1"/>
    <col min="5" max="16384" width="8.85546875" style="3"/>
  </cols>
  <sheetData>
    <row r="1" spans="1:4">
      <c r="A1" s="60" t="s">
        <v>7</v>
      </c>
      <c r="B1" s="60" t="s">
        <v>20</v>
      </c>
      <c r="C1" s="174" t="s">
        <v>22</v>
      </c>
      <c r="D1" s="175" t="s">
        <v>124</v>
      </c>
    </row>
    <row r="2" spans="1:4">
      <c r="A2" s="60">
        <f>Calculator!H4</f>
        <v>1</v>
      </c>
      <c r="B2" s="61">
        <f>Calculator!A9</f>
        <v>-90</v>
      </c>
      <c r="C2" s="174">
        <f>Calculator!C9</f>
        <v>45835</v>
      </c>
      <c r="D2" s="175">
        <f>Calculator!T9</f>
        <v>0</v>
      </c>
    </row>
    <row r="3" spans="1:4">
      <c r="A3" s="60">
        <f>A2</f>
        <v>1</v>
      </c>
      <c r="B3" s="61">
        <f>Calculator!A10</f>
        <v>-89</v>
      </c>
      <c r="C3" s="174">
        <f>Calculator!C10</f>
        <v>45836</v>
      </c>
      <c r="D3" s="175">
        <f>Calculator!T10</f>
        <v>0</v>
      </c>
    </row>
    <row r="4" spans="1:4">
      <c r="A4" s="60">
        <f t="shared" ref="A4:A67" si="0">A3</f>
        <v>1</v>
      </c>
      <c r="B4" s="61">
        <f>Calculator!A11</f>
        <v>-88</v>
      </c>
      <c r="C4" s="174">
        <f>Calculator!C11</f>
        <v>45837</v>
      </c>
      <c r="D4" s="175">
        <f>Calculator!T11</f>
        <v>0</v>
      </c>
    </row>
    <row r="5" spans="1:4">
      <c r="A5" s="60">
        <f t="shared" si="0"/>
        <v>1</v>
      </c>
      <c r="B5" s="61">
        <f>Calculator!A12</f>
        <v>-87</v>
      </c>
      <c r="C5" s="174">
        <f>Calculator!C12</f>
        <v>45838</v>
      </c>
      <c r="D5" s="175">
        <f>Calculator!T12</f>
        <v>0</v>
      </c>
    </row>
    <row r="6" spans="1:4">
      <c r="A6" s="60">
        <f t="shared" si="0"/>
        <v>1</v>
      </c>
      <c r="B6" s="61">
        <f>Calculator!A13</f>
        <v>-86</v>
      </c>
      <c r="C6" s="174">
        <f>Calculator!C13</f>
        <v>45839</v>
      </c>
      <c r="D6" s="175" t="str">
        <f>Calculator!T13</f>
        <v>M</v>
      </c>
    </row>
    <row r="7" spans="1:4">
      <c r="A7" s="60">
        <f t="shared" si="0"/>
        <v>1</v>
      </c>
      <c r="B7" s="61">
        <f>Calculator!A14</f>
        <v>-85</v>
      </c>
      <c r="C7" s="174">
        <f>Calculator!C14</f>
        <v>45840</v>
      </c>
      <c r="D7" s="175" t="str">
        <f>Calculator!T14</f>
        <v>M</v>
      </c>
    </row>
    <row r="8" spans="1:4">
      <c r="A8" s="60">
        <f t="shared" si="0"/>
        <v>1</v>
      </c>
      <c r="B8" s="61">
        <f>Calculator!A15</f>
        <v>-84</v>
      </c>
      <c r="C8" s="174">
        <f>Calculator!C15</f>
        <v>45841</v>
      </c>
      <c r="D8" s="175" t="str">
        <f>Calculator!T15</f>
        <v>M</v>
      </c>
    </row>
    <row r="9" spans="1:4">
      <c r="A9" s="60">
        <f t="shared" si="0"/>
        <v>1</v>
      </c>
      <c r="B9" s="61">
        <f>Calculator!A16</f>
        <v>-83</v>
      </c>
      <c r="C9" s="174">
        <f>Calculator!C16</f>
        <v>45842</v>
      </c>
      <c r="D9" s="175" t="str">
        <f>Calculator!T16</f>
        <v>M</v>
      </c>
    </row>
    <row r="10" spans="1:4">
      <c r="A10" s="60">
        <f t="shared" si="0"/>
        <v>1</v>
      </c>
      <c r="B10" s="61">
        <f>Calculator!A17</f>
        <v>-82</v>
      </c>
      <c r="C10" s="174">
        <f>Calculator!C17</f>
        <v>45843</v>
      </c>
      <c r="D10" s="175" t="str">
        <f>Calculator!T17</f>
        <v>M</v>
      </c>
    </row>
    <row r="11" spans="1:4">
      <c r="A11" s="60">
        <f t="shared" si="0"/>
        <v>1</v>
      </c>
      <c r="B11" s="61">
        <f>Calculator!A18</f>
        <v>-81</v>
      </c>
      <c r="C11" s="174">
        <f>Calculator!C18</f>
        <v>45844</v>
      </c>
      <c r="D11" s="175" t="str">
        <f>Calculator!T18</f>
        <v>M</v>
      </c>
    </row>
    <row r="12" spans="1:4">
      <c r="A12" s="60">
        <f t="shared" si="0"/>
        <v>1</v>
      </c>
      <c r="B12" s="61">
        <f>Calculator!A19</f>
        <v>-80</v>
      </c>
      <c r="C12" s="174">
        <f>Calculator!C19</f>
        <v>45845</v>
      </c>
      <c r="D12" s="175" t="str">
        <f>Calculator!T19</f>
        <v>M</v>
      </c>
    </row>
    <row r="13" spans="1:4">
      <c r="A13" s="60">
        <f t="shared" si="0"/>
        <v>1</v>
      </c>
      <c r="B13" s="61">
        <f>Calculator!A20</f>
        <v>-79</v>
      </c>
      <c r="C13" s="174">
        <f>Calculator!C20</f>
        <v>45846</v>
      </c>
      <c r="D13" s="175" t="str">
        <f>Calculator!T20</f>
        <v>M</v>
      </c>
    </row>
    <row r="14" spans="1:4">
      <c r="A14" s="60">
        <f t="shared" si="0"/>
        <v>1</v>
      </c>
      <c r="B14" s="61">
        <f>Calculator!A21</f>
        <v>-78</v>
      </c>
      <c r="C14" s="174">
        <f>Calculator!C21</f>
        <v>45847</v>
      </c>
      <c r="D14" s="175" t="str">
        <f>Calculator!T21</f>
        <v>M</v>
      </c>
    </row>
    <row r="15" spans="1:4">
      <c r="A15" s="60">
        <f t="shared" si="0"/>
        <v>1</v>
      </c>
      <c r="B15" s="61">
        <f>Calculator!A22</f>
        <v>-77</v>
      </c>
      <c r="C15" s="174">
        <f>Calculator!C22</f>
        <v>45848</v>
      </c>
      <c r="D15" s="175" t="str">
        <f>Calculator!T22</f>
        <v>M</v>
      </c>
    </row>
    <row r="16" spans="1:4">
      <c r="A16" s="60">
        <f t="shared" si="0"/>
        <v>1</v>
      </c>
      <c r="B16" s="61">
        <f>Calculator!A23</f>
        <v>-76</v>
      </c>
      <c r="C16" s="174">
        <f>Calculator!C23</f>
        <v>45849</v>
      </c>
      <c r="D16" s="175" t="str">
        <f>Calculator!T23</f>
        <v>M</v>
      </c>
    </row>
    <row r="17" spans="1:4">
      <c r="A17" s="60">
        <f t="shared" si="0"/>
        <v>1</v>
      </c>
      <c r="B17" s="61">
        <f>Calculator!A24</f>
        <v>-75</v>
      </c>
      <c r="C17" s="174">
        <f>Calculator!C24</f>
        <v>45850</v>
      </c>
      <c r="D17" s="175" t="str">
        <f>Calculator!T24</f>
        <v>M</v>
      </c>
    </row>
    <row r="18" spans="1:4">
      <c r="A18" s="60">
        <f t="shared" si="0"/>
        <v>1</v>
      </c>
      <c r="B18" s="61">
        <f>Calculator!A25</f>
        <v>-74</v>
      </c>
      <c r="C18" s="174">
        <f>Calculator!C25</f>
        <v>45851</v>
      </c>
      <c r="D18" s="175" t="str">
        <f>Calculator!T25</f>
        <v>M</v>
      </c>
    </row>
    <row r="19" spans="1:4">
      <c r="A19" s="60">
        <f t="shared" si="0"/>
        <v>1</v>
      </c>
      <c r="B19" s="61">
        <f>Calculator!A26</f>
        <v>-73</v>
      </c>
      <c r="C19" s="174">
        <f>Calculator!C26</f>
        <v>45852</v>
      </c>
      <c r="D19" s="175" t="str">
        <f>Calculator!T26</f>
        <v>M</v>
      </c>
    </row>
    <row r="20" spans="1:4">
      <c r="A20" s="60">
        <f t="shared" si="0"/>
        <v>1</v>
      </c>
      <c r="B20" s="61">
        <f>Calculator!A27</f>
        <v>-72</v>
      </c>
      <c r="C20" s="174">
        <f>Calculator!C27</f>
        <v>45853</v>
      </c>
      <c r="D20" s="175" t="str">
        <f>Calculator!T27</f>
        <v>M</v>
      </c>
    </row>
    <row r="21" spans="1:4">
      <c r="A21" s="60">
        <f t="shared" si="0"/>
        <v>1</v>
      </c>
      <c r="B21" s="61">
        <f>Calculator!A28</f>
        <v>-71</v>
      </c>
      <c r="C21" s="174">
        <f>Calculator!C28</f>
        <v>45854</v>
      </c>
      <c r="D21" s="175" t="str">
        <f>Calculator!T28</f>
        <v>M</v>
      </c>
    </row>
    <row r="22" spans="1:4">
      <c r="A22" s="60">
        <f t="shared" si="0"/>
        <v>1</v>
      </c>
      <c r="B22" s="61">
        <f>Calculator!A29</f>
        <v>-70</v>
      </c>
      <c r="C22" s="174">
        <f>Calculator!C29</f>
        <v>45855</v>
      </c>
      <c r="D22" s="175" t="str">
        <f>Calculator!T29</f>
        <v>M</v>
      </c>
    </row>
    <row r="23" spans="1:4">
      <c r="A23" s="60">
        <f t="shared" si="0"/>
        <v>1</v>
      </c>
      <c r="B23" s="61">
        <f>Calculator!A30</f>
        <v>-69</v>
      </c>
      <c r="C23" s="174">
        <f>Calculator!C30</f>
        <v>45856</v>
      </c>
      <c r="D23" s="175" t="str">
        <f>Calculator!T30</f>
        <v>M</v>
      </c>
    </row>
    <row r="24" spans="1:4">
      <c r="A24" s="60">
        <f t="shared" si="0"/>
        <v>1</v>
      </c>
      <c r="B24" s="61">
        <f>Calculator!A31</f>
        <v>-68</v>
      </c>
      <c r="C24" s="174">
        <f>Calculator!C31</f>
        <v>45857</v>
      </c>
      <c r="D24" s="175" t="str">
        <f>Calculator!T31</f>
        <v>M</v>
      </c>
    </row>
    <row r="25" spans="1:4">
      <c r="A25" s="60">
        <f t="shared" si="0"/>
        <v>1</v>
      </c>
      <c r="B25" s="61">
        <f>Calculator!A32</f>
        <v>-67</v>
      </c>
      <c r="C25" s="174">
        <f>Calculator!C32</f>
        <v>45858</v>
      </c>
      <c r="D25" s="175" t="str">
        <f>Calculator!T32</f>
        <v>M</v>
      </c>
    </row>
    <row r="26" spans="1:4">
      <c r="A26" s="60">
        <f t="shared" si="0"/>
        <v>1</v>
      </c>
      <c r="B26" s="61">
        <f>Calculator!A33</f>
        <v>-66</v>
      </c>
      <c r="C26" s="174">
        <f>Calculator!C33</f>
        <v>45859</v>
      </c>
      <c r="D26" s="175" t="str">
        <f>Calculator!T33</f>
        <v>M</v>
      </c>
    </row>
    <row r="27" spans="1:4">
      <c r="A27" s="60">
        <f t="shared" si="0"/>
        <v>1</v>
      </c>
      <c r="B27" s="61">
        <f>Calculator!A34</f>
        <v>-65</v>
      </c>
      <c r="C27" s="174">
        <f>Calculator!C34</f>
        <v>45860</v>
      </c>
      <c r="D27" s="175" t="str">
        <f>Calculator!T34</f>
        <v>M</v>
      </c>
    </row>
    <row r="28" spans="1:4">
      <c r="A28" s="60">
        <f t="shared" si="0"/>
        <v>1</v>
      </c>
      <c r="B28" s="61">
        <f>Calculator!A35</f>
        <v>-64</v>
      </c>
      <c r="C28" s="174">
        <f>Calculator!C35</f>
        <v>45861</v>
      </c>
      <c r="D28" s="175" t="str">
        <f>Calculator!T35</f>
        <v>M</v>
      </c>
    </row>
    <row r="29" spans="1:4">
      <c r="A29" s="60">
        <f t="shared" si="0"/>
        <v>1</v>
      </c>
      <c r="B29" s="61">
        <f>Calculator!A36</f>
        <v>-63</v>
      </c>
      <c r="C29" s="174">
        <f>Calculator!C36</f>
        <v>45862</v>
      </c>
      <c r="D29" s="175" t="str">
        <f>Calculator!T36</f>
        <v>M</v>
      </c>
    </row>
    <row r="30" spans="1:4">
      <c r="A30" s="60">
        <f t="shared" si="0"/>
        <v>1</v>
      </c>
      <c r="B30" s="61">
        <f>Calculator!A37</f>
        <v>-62</v>
      </c>
      <c r="C30" s="174">
        <f>Calculator!C37</f>
        <v>45863</v>
      </c>
      <c r="D30" s="175" t="str">
        <f>Calculator!T37</f>
        <v>M</v>
      </c>
    </row>
    <row r="31" spans="1:4">
      <c r="A31" s="60">
        <f t="shared" si="0"/>
        <v>1</v>
      </c>
      <c r="B31" s="61">
        <f>Calculator!A38</f>
        <v>-61</v>
      </c>
      <c r="C31" s="174">
        <f>Calculator!C38</f>
        <v>45864</v>
      </c>
      <c r="D31" s="175" t="str">
        <f>Calculator!T38</f>
        <v>M</v>
      </c>
    </row>
    <row r="32" spans="1:4">
      <c r="A32" s="60">
        <f t="shared" si="0"/>
        <v>1</v>
      </c>
      <c r="B32" s="61">
        <f>Calculator!A39</f>
        <v>-60</v>
      </c>
      <c r="C32" s="174">
        <f>Calculator!C39</f>
        <v>45865</v>
      </c>
      <c r="D32" s="175" t="str">
        <f>Calculator!T39</f>
        <v>M</v>
      </c>
    </row>
    <row r="33" spans="1:4">
      <c r="A33" s="60">
        <f t="shared" si="0"/>
        <v>1</v>
      </c>
      <c r="B33" s="61">
        <f>Calculator!A40</f>
        <v>-59</v>
      </c>
      <c r="C33" s="174">
        <f>Calculator!C40</f>
        <v>45866</v>
      </c>
      <c r="D33" s="175" t="str">
        <f>Calculator!T40</f>
        <v>M</v>
      </c>
    </row>
    <row r="34" spans="1:4">
      <c r="A34" s="60">
        <f t="shared" si="0"/>
        <v>1</v>
      </c>
      <c r="B34" s="61">
        <f>Calculator!A41</f>
        <v>-58</v>
      </c>
      <c r="C34" s="174">
        <f>Calculator!C41</f>
        <v>45867</v>
      </c>
      <c r="D34" s="175" t="str">
        <f>Calculator!T41</f>
        <v>M</v>
      </c>
    </row>
    <row r="35" spans="1:4">
      <c r="A35" s="60">
        <f t="shared" si="0"/>
        <v>1</v>
      </c>
      <c r="B35" s="61">
        <f>Calculator!A42</f>
        <v>-57</v>
      </c>
      <c r="C35" s="174">
        <f>Calculator!C42</f>
        <v>45868</v>
      </c>
      <c r="D35" s="175" t="str">
        <f>Calculator!T42</f>
        <v>M</v>
      </c>
    </row>
    <row r="36" spans="1:4">
      <c r="A36" s="60">
        <f t="shared" si="0"/>
        <v>1</v>
      </c>
      <c r="B36" s="61">
        <f>Calculator!A43</f>
        <v>-56</v>
      </c>
      <c r="C36" s="174">
        <f>Calculator!C43</f>
        <v>45869</v>
      </c>
      <c r="D36" s="175" t="str">
        <f>Calculator!T43</f>
        <v>M</v>
      </c>
    </row>
    <row r="37" spans="1:4">
      <c r="A37" s="60">
        <f t="shared" si="0"/>
        <v>1</v>
      </c>
      <c r="B37" s="61">
        <f>Calculator!A44</f>
        <v>-55</v>
      </c>
      <c r="C37" s="174">
        <f>Calculator!C44</f>
        <v>45870</v>
      </c>
      <c r="D37" s="175" t="str">
        <f>Calculator!T44</f>
        <v>M</v>
      </c>
    </row>
    <row r="38" spans="1:4">
      <c r="A38" s="60">
        <f t="shared" si="0"/>
        <v>1</v>
      </c>
      <c r="B38" s="61">
        <f>Calculator!A45</f>
        <v>-54</v>
      </c>
      <c r="C38" s="174">
        <f>Calculator!C45</f>
        <v>45871</v>
      </c>
      <c r="D38" s="175" t="str">
        <f>Calculator!T45</f>
        <v>M</v>
      </c>
    </row>
    <row r="39" spans="1:4">
      <c r="A39" s="60">
        <f t="shared" si="0"/>
        <v>1</v>
      </c>
      <c r="B39" s="61">
        <f>Calculator!A46</f>
        <v>-53</v>
      </c>
      <c r="C39" s="174">
        <f>Calculator!C46</f>
        <v>45872</v>
      </c>
      <c r="D39" s="175" t="str">
        <f>Calculator!T46</f>
        <v>M</v>
      </c>
    </row>
    <row r="40" spans="1:4">
      <c r="A40" s="60">
        <f t="shared" si="0"/>
        <v>1</v>
      </c>
      <c r="B40" s="61">
        <f>Calculator!A47</f>
        <v>-52</v>
      </c>
      <c r="C40" s="174">
        <f>Calculator!C47</f>
        <v>45873</v>
      </c>
      <c r="D40" s="175" t="str">
        <f>Calculator!T47</f>
        <v>M</v>
      </c>
    </row>
    <row r="41" spans="1:4">
      <c r="A41" s="60">
        <f t="shared" si="0"/>
        <v>1</v>
      </c>
      <c r="B41" s="61">
        <f>Calculator!A48</f>
        <v>-51</v>
      </c>
      <c r="C41" s="174">
        <f>Calculator!C48</f>
        <v>45874</v>
      </c>
      <c r="D41" s="175" t="str">
        <f>Calculator!T48</f>
        <v>M</v>
      </c>
    </row>
    <row r="42" spans="1:4">
      <c r="A42" s="60">
        <f t="shared" si="0"/>
        <v>1</v>
      </c>
      <c r="B42" s="61">
        <f>Calculator!A49</f>
        <v>-50</v>
      </c>
      <c r="C42" s="174">
        <f>Calculator!C49</f>
        <v>45875</v>
      </c>
      <c r="D42" s="175" t="str">
        <f>Calculator!T49</f>
        <v>M</v>
      </c>
    </row>
    <row r="43" spans="1:4">
      <c r="A43" s="60">
        <f t="shared" si="0"/>
        <v>1</v>
      </c>
      <c r="B43" s="61">
        <f>Calculator!A50</f>
        <v>-49</v>
      </c>
      <c r="C43" s="174">
        <f>Calculator!C50</f>
        <v>45876</v>
      </c>
      <c r="D43" s="175" t="str">
        <f>Calculator!T50</f>
        <v>M</v>
      </c>
    </row>
    <row r="44" spans="1:4">
      <c r="A44" s="60">
        <f t="shared" si="0"/>
        <v>1</v>
      </c>
      <c r="B44" s="61">
        <f>Calculator!A51</f>
        <v>-48</v>
      </c>
      <c r="C44" s="174">
        <f>Calculator!C51</f>
        <v>45877</v>
      </c>
      <c r="D44" s="175" t="str">
        <f>Calculator!T51</f>
        <v>M</v>
      </c>
    </row>
    <row r="45" spans="1:4">
      <c r="A45" s="60">
        <f t="shared" si="0"/>
        <v>1</v>
      </c>
      <c r="B45" s="61">
        <f>Calculator!A52</f>
        <v>-47</v>
      </c>
      <c r="C45" s="174">
        <f>Calculator!C52</f>
        <v>45878</v>
      </c>
      <c r="D45" s="175" t="str">
        <f>Calculator!T52</f>
        <v>M</v>
      </c>
    </row>
    <row r="46" spans="1:4">
      <c r="A46" s="60">
        <f t="shared" si="0"/>
        <v>1</v>
      </c>
      <c r="B46" s="61">
        <f>Calculator!A53</f>
        <v>-46</v>
      </c>
      <c r="C46" s="174">
        <f>Calculator!C53</f>
        <v>45879</v>
      </c>
      <c r="D46" s="175" t="str">
        <f>Calculator!T53</f>
        <v>M</v>
      </c>
    </row>
    <row r="47" spans="1:4">
      <c r="A47" s="60">
        <f t="shared" si="0"/>
        <v>1</v>
      </c>
      <c r="B47" s="61">
        <f>Calculator!A54</f>
        <v>-45</v>
      </c>
      <c r="C47" s="174">
        <f>Calculator!C54</f>
        <v>45880</v>
      </c>
      <c r="D47" s="175" t="str">
        <f>Calculator!T54</f>
        <v>M</v>
      </c>
    </row>
    <row r="48" spans="1:4">
      <c r="A48" s="60">
        <f t="shared" si="0"/>
        <v>1</v>
      </c>
      <c r="B48" s="61">
        <f>Calculator!A55</f>
        <v>-44</v>
      </c>
      <c r="C48" s="174">
        <f>Calculator!C55</f>
        <v>45881</v>
      </c>
      <c r="D48" s="175" t="str">
        <f>Calculator!T55</f>
        <v>M</v>
      </c>
    </row>
    <row r="49" spans="1:4">
      <c r="A49" s="60">
        <f t="shared" si="0"/>
        <v>1</v>
      </c>
      <c r="B49" s="61">
        <f>Calculator!A56</f>
        <v>-43</v>
      </c>
      <c r="C49" s="174">
        <f>Calculator!C56</f>
        <v>45882</v>
      </c>
      <c r="D49" s="175" t="str">
        <f>Calculator!T56</f>
        <v>M</v>
      </c>
    </row>
    <row r="50" spans="1:4">
      <c r="A50" s="60">
        <f t="shared" si="0"/>
        <v>1</v>
      </c>
      <c r="B50" s="61">
        <f>Calculator!A57</f>
        <v>-42</v>
      </c>
      <c r="C50" s="174">
        <f>Calculator!C57</f>
        <v>45883</v>
      </c>
      <c r="D50" s="175" t="str">
        <f>Calculator!T57</f>
        <v>M</v>
      </c>
    </row>
    <row r="51" spans="1:4">
      <c r="A51" s="60">
        <f t="shared" si="0"/>
        <v>1</v>
      </c>
      <c r="B51" s="61">
        <f>Calculator!A58</f>
        <v>-41</v>
      </c>
      <c r="C51" s="174">
        <f>Calculator!C58</f>
        <v>45884</v>
      </c>
      <c r="D51" s="175" t="str">
        <f>Calculator!T58</f>
        <v>M</v>
      </c>
    </row>
    <row r="52" spans="1:4">
      <c r="A52" s="60">
        <f t="shared" si="0"/>
        <v>1</v>
      </c>
      <c r="B52" s="61">
        <f>Calculator!A59</f>
        <v>-40</v>
      </c>
      <c r="C52" s="174">
        <f>Calculator!C59</f>
        <v>45885</v>
      </c>
      <c r="D52" s="175" t="str">
        <f>Calculator!T59</f>
        <v>M</v>
      </c>
    </row>
    <row r="53" spans="1:4">
      <c r="A53" s="60">
        <f t="shared" si="0"/>
        <v>1</v>
      </c>
      <c r="B53" s="61">
        <f>Calculator!A60</f>
        <v>-39</v>
      </c>
      <c r="C53" s="174">
        <f>Calculator!C60</f>
        <v>45886</v>
      </c>
      <c r="D53" s="175" t="str">
        <f>Calculator!T60</f>
        <v>M</v>
      </c>
    </row>
    <row r="54" spans="1:4">
      <c r="A54" s="60">
        <f t="shared" si="0"/>
        <v>1</v>
      </c>
      <c r="B54" s="61">
        <f>Calculator!A61</f>
        <v>-38</v>
      </c>
      <c r="C54" s="174">
        <f>Calculator!C61</f>
        <v>45887</v>
      </c>
      <c r="D54" s="175" t="str">
        <f>Calculator!T61</f>
        <v>M</v>
      </c>
    </row>
    <row r="55" spans="1:4">
      <c r="A55" s="60">
        <f t="shared" si="0"/>
        <v>1</v>
      </c>
      <c r="B55" s="61">
        <f>Calculator!A62</f>
        <v>-37</v>
      </c>
      <c r="C55" s="174">
        <f>Calculator!C62</f>
        <v>45888</v>
      </c>
      <c r="D55" s="175" t="str">
        <f>Calculator!T62</f>
        <v>M</v>
      </c>
    </row>
    <row r="56" spans="1:4">
      <c r="A56" s="60">
        <f t="shared" si="0"/>
        <v>1</v>
      </c>
      <c r="B56" s="61">
        <f>Calculator!A63</f>
        <v>-36</v>
      </c>
      <c r="C56" s="174">
        <f>Calculator!C63</f>
        <v>45889</v>
      </c>
      <c r="D56" s="175" t="str">
        <f>Calculator!T63</f>
        <v>M</v>
      </c>
    </row>
    <row r="57" spans="1:4">
      <c r="A57" s="60">
        <f t="shared" si="0"/>
        <v>1</v>
      </c>
      <c r="B57" s="61">
        <f>Calculator!A64</f>
        <v>-35</v>
      </c>
      <c r="C57" s="174">
        <f>Calculator!C64</f>
        <v>45890</v>
      </c>
      <c r="D57" s="175" t="str">
        <f>Calculator!T64</f>
        <v>M</v>
      </c>
    </row>
    <row r="58" spans="1:4">
      <c r="A58" s="60">
        <f t="shared" si="0"/>
        <v>1</v>
      </c>
      <c r="B58" s="61">
        <f>Calculator!A65</f>
        <v>-34</v>
      </c>
      <c r="C58" s="174">
        <f>Calculator!C65</f>
        <v>45891</v>
      </c>
      <c r="D58" s="175" t="str">
        <f>Calculator!T65</f>
        <v>M</v>
      </c>
    </row>
    <row r="59" spans="1:4">
      <c r="A59" s="60">
        <f t="shared" si="0"/>
        <v>1</v>
      </c>
      <c r="B59" s="61">
        <f>Calculator!A66</f>
        <v>-33</v>
      </c>
      <c r="C59" s="174">
        <f>Calculator!C66</f>
        <v>45892</v>
      </c>
      <c r="D59" s="175" t="str">
        <f>Calculator!T66</f>
        <v>M</v>
      </c>
    </row>
    <row r="60" spans="1:4">
      <c r="A60" s="60">
        <f t="shared" si="0"/>
        <v>1</v>
      </c>
      <c r="B60" s="61">
        <f>Calculator!A67</f>
        <v>-32</v>
      </c>
      <c r="C60" s="174">
        <f>Calculator!C67</f>
        <v>45893</v>
      </c>
      <c r="D60" s="175" t="str">
        <f>Calculator!T67</f>
        <v>M</v>
      </c>
    </row>
    <row r="61" spans="1:4">
      <c r="A61" s="60">
        <f t="shared" si="0"/>
        <v>1</v>
      </c>
      <c r="B61" s="61">
        <f>Calculator!A68</f>
        <v>-31</v>
      </c>
      <c r="C61" s="174">
        <f>Calculator!C68</f>
        <v>45894</v>
      </c>
      <c r="D61" s="175" t="str">
        <f>Calculator!T68</f>
        <v>M</v>
      </c>
    </row>
    <row r="62" spans="1:4">
      <c r="A62" s="60">
        <f t="shared" si="0"/>
        <v>1</v>
      </c>
      <c r="B62" s="61">
        <f>Calculator!A69</f>
        <v>-30</v>
      </c>
      <c r="C62" s="174">
        <f>Calculator!C69</f>
        <v>45895</v>
      </c>
      <c r="D62" s="175" t="str">
        <f>Calculator!T69</f>
        <v>M</v>
      </c>
    </row>
    <row r="63" spans="1:4">
      <c r="A63" s="60">
        <f t="shared" si="0"/>
        <v>1</v>
      </c>
      <c r="B63" s="61">
        <f>Calculator!A70</f>
        <v>-29</v>
      </c>
      <c r="C63" s="174">
        <f>Calculator!C70</f>
        <v>45896</v>
      </c>
      <c r="D63" s="175" t="str">
        <f>Calculator!T70</f>
        <v>M</v>
      </c>
    </row>
    <row r="64" spans="1:4">
      <c r="A64" s="60">
        <f t="shared" si="0"/>
        <v>1</v>
      </c>
      <c r="B64" s="61">
        <f>Calculator!A71</f>
        <v>-28</v>
      </c>
      <c r="C64" s="174">
        <f>Calculator!C71</f>
        <v>45897</v>
      </c>
      <c r="D64" s="175" t="str">
        <f>Calculator!T71</f>
        <v>M</v>
      </c>
    </row>
    <row r="65" spans="1:4">
      <c r="A65" s="60">
        <f t="shared" si="0"/>
        <v>1</v>
      </c>
      <c r="B65" s="61">
        <f>Calculator!A72</f>
        <v>-27</v>
      </c>
      <c r="C65" s="174">
        <f>Calculator!C72</f>
        <v>45898</v>
      </c>
      <c r="D65" s="175" t="str">
        <f>Calculator!T72</f>
        <v>M</v>
      </c>
    </row>
    <row r="66" spans="1:4">
      <c r="A66" s="60">
        <f t="shared" si="0"/>
        <v>1</v>
      </c>
      <c r="B66" s="61">
        <f>Calculator!A73</f>
        <v>-26</v>
      </c>
      <c r="C66" s="174">
        <f>Calculator!C73</f>
        <v>45899</v>
      </c>
      <c r="D66" s="175" t="str">
        <f>Calculator!T73</f>
        <v>M</v>
      </c>
    </row>
    <row r="67" spans="1:4">
      <c r="A67" s="60">
        <f t="shared" si="0"/>
        <v>1</v>
      </c>
      <c r="B67" s="61">
        <f>Calculator!A74</f>
        <v>-25</v>
      </c>
      <c r="C67" s="174">
        <f>Calculator!C74</f>
        <v>45900</v>
      </c>
      <c r="D67" s="175" t="str">
        <f>Calculator!T74</f>
        <v>M</v>
      </c>
    </row>
    <row r="68" spans="1:4">
      <c r="A68" s="60">
        <f t="shared" ref="A68:A91" si="1">A67</f>
        <v>1</v>
      </c>
      <c r="B68" s="61">
        <f>Calculator!A75</f>
        <v>-24</v>
      </c>
      <c r="C68" s="174">
        <f>Calculator!C75</f>
        <v>45901</v>
      </c>
      <c r="D68" s="175" t="str">
        <f>Calculator!T75</f>
        <v>M</v>
      </c>
    </row>
    <row r="69" spans="1:4">
      <c r="A69" s="60">
        <f t="shared" si="1"/>
        <v>1</v>
      </c>
      <c r="B69" s="61">
        <f>Calculator!A76</f>
        <v>-23</v>
      </c>
      <c r="C69" s="174">
        <f>Calculator!C76</f>
        <v>45902</v>
      </c>
      <c r="D69" s="175" t="str">
        <f>Calculator!T76</f>
        <v>M</v>
      </c>
    </row>
    <row r="70" spans="1:4">
      <c r="A70" s="60">
        <f t="shared" si="1"/>
        <v>1</v>
      </c>
      <c r="B70" s="61">
        <f>Calculator!A77</f>
        <v>-22</v>
      </c>
      <c r="C70" s="174">
        <f>Calculator!C77</f>
        <v>45903</v>
      </c>
      <c r="D70" s="175" t="str">
        <f>Calculator!T77</f>
        <v>M</v>
      </c>
    </row>
    <row r="71" spans="1:4">
      <c r="A71" s="60">
        <f t="shared" si="1"/>
        <v>1</v>
      </c>
      <c r="B71" s="61">
        <f>Calculator!A78</f>
        <v>-21</v>
      </c>
      <c r="C71" s="174">
        <f>Calculator!C78</f>
        <v>45904</v>
      </c>
      <c r="D71" s="175" t="str">
        <f>Calculator!T78</f>
        <v>M</v>
      </c>
    </row>
    <row r="72" spans="1:4">
      <c r="A72" s="60">
        <f t="shared" si="1"/>
        <v>1</v>
      </c>
      <c r="B72" s="61">
        <f>Calculator!A79</f>
        <v>-20</v>
      </c>
      <c r="C72" s="174">
        <f>Calculator!C79</f>
        <v>45905</v>
      </c>
      <c r="D72" s="175" t="str">
        <f>Calculator!T79</f>
        <v>M</v>
      </c>
    </row>
    <row r="73" spans="1:4">
      <c r="A73" s="60">
        <f t="shared" si="1"/>
        <v>1</v>
      </c>
      <c r="B73" s="61">
        <f>Calculator!A80</f>
        <v>-19</v>
      </c>
      <c r="C73" s="174">
        <f>Calculator!C80</f>
        <v>45906</v>
      </c>
      <c r="D73" s="175" t="str">
        <f>Calculator!T80</f>
        <v>M</v>
      </c>
    </row>
    <row r="74" spans="1:4">
      <c r="A74" s="60">
        <f t="shared" si="1"/>
        <v>1</v>
      </c>
      <c r="B74" s="61">
        <f>Calculator!A81</f>
        <v>-18</v>
      </c>
      <c r="C74" s="174">
        <f>Calculator!C81</f>
        <v>45907</v>
      </c>
      <c r="D74" s="175" t="str">
        <f>Calculator!T81</f>
        <v>M</v>
      </c>
    </row>
    <row r="75" spans="1:4">
      <c r="A75" s="60">
        <f t="shared" si="1"/>
        <v>1</v>
      </c>
      <c r="B75" s="61">
        <f>Calculator!A82</f>
        <v>-17</v>
      </c>
      <c r="C75" s="174">
        <f>Calculator!C82</f>
        <v>45908</v>
      </c>
      <c r="D75" s="175" t="str">
        <f>Calculator!T82</f>
        <v>M</v>
      </c>
    </row>
    <row r="76" spans="1:4">
      <c r="A76" s="60">
        <f t="shared" si="1"/>
        <v>1</v>
      </c>
      <c r="B76" s="61">
        <f>Calculator!A83</f>
        <v>-16</v>
      </c>
      <c r="C76" s="174">
        <f>Calculator!C83</f>
        <v>45909</v>
      </c>
      <c r="D76" s="175" t="str">
        <f>Calculator!T83</f>
        <v>M</v>
      </c>
    </row>
    <row r="77" spans="1:4">
      <c r="A77" s="60">
        <f t="shared" si="1"/>
        <v>1</v>
      </c>
      <c r="B77" s="61">
        <f>Calculator!A84</f>
        <v>-15</v>
      </c>
      <c r="C77" s="174">
        <f>Calculator!C84</f>
        <v>45910</v>
      </c>
      <c r="D77" s="175" t="str">
        <f>Calculator!T84</f>
        <v>M</v>
      </c>
    </row>
    <row r="78" spans="1:4">
      <c r="A78" s="60">
        <f t="shared" si="1"/>
        <v>1</v>
      </c>
      <c r="B78" s="61">
        <f>Calculator!A85</f>
        <v>-14</v>
      </c>
      <c r="C78" s="174">
        <f>Calculator!C85</f>
        <v>45911</v>
      </c>
      <c r="D78" s="175" t="str">
        <f>Calculator!T85</f>
        <v>M</v>
      </c>
    </row>
    <row r="79" spans="1:4">
      <c r="A79" s="60">
        <f t="shared" si="1"/>
        <v>1</v>
      </c>
      <c r="B79" s="61">
        <f>Calculator!A86</f>
        <v>-13</v>
      </c>
      <c r="C79" s="174">
        <f>Calculator!C86</f>
        <v>45912</v>
      </c>
      <c r="D79" s="175" t="str">
        <f>Calculator!T86</f>
        <v>M</v>
      </c>
    </row>
    <row r="80" spans="1:4">
      <c r="A80" s="60">
        <f t="shared" si="1"/>
        <v>1</v>
      </c>
      <c r="B80" s="61">
        <f>Calculator!A87</f>
        <v>-12</v>
      </c>
      <c r="C80" s="174">
        <f>Calculator!C87</f>
        <v>45913</v>
      </c>
      <c r="D80" s="175" t="str">
        <f>Calculator!T87</f>
        <v>M</v>
      </c>
    </row>
    <row r="81" spans="1:4">
      <c r="A81" s="60">
        <f t="shared" si="1"/>
        <v>1</v>
      </c>
      <c r="B81" s="61">
        <f>Calculator!A88</f>
        <v>-11</v>
      </c>
      <c r="C81" s="174">
        <f>Calculator!C88</f>
        <v>45914</v>
      </c>
      <c r="D81" s="175" t="str">
        <f>Calculator!T88</f>
        <v>M</v>
      </c>
    </row>
    <row r="82" spans="1:4">
      <c r="A82" s="60">
        <f t="shared" si="1"/>
        <v>1</v>
      </c>
      <c r="B82" s="61">
        <f>Calculator!A89</f>
        <v>-10</v>
      </c>
      <c r="C82" s="174">
        <f>Calculator!C89</f>
        <v>45915</v>
      </c>
      <c r="D82" s="175" t="str">
        <f>Calculator!T89</f>
        <v>M</v>
      </c>
    </row>
    <row r="83" spans="1:4">
      <c r="A83" s="60">
        <f t="shared" si="1"/>
        <v>1</v>
      </c>
      <c r="B83" s="61">
        <f>Calculator!A90</f>
        <v>-9</v>
      </c>
      <c r="C83" s="174">
        <f>Calculator!C90</f>
        <v>45916</v>
      </c>
      <c r="D83" s="175" t="str">
        <f>Calculator!T90</f>
        <v>M</v>
      </c>
    </row>
    <row r="84" spans="1:4">
      <c r="A84" s="60">
        <f t="shared" si="1"/>
        <v>1</v>
      </c>
      <c r="B84" s="61">
        <f>Calculator!A91</f>
        <v>-8</v>
      </c>
      <c r="C84" s="174">
        <f>Calculator!C91</f>
        <v>45917</v>
      </c>
      <c r="D84" s="175" t="str">
        <f>Calculator!T91</f>
        <v>M</v>
      </c>
    </row>
    <row r="85" spans="1:4">
      <c r="A85" s="60">
        <f t="shared" si="1"/>
        <v>1</v>
      </c>
      <c r="B85" s="61">
        <f>Calculator!A92</f>
        <v>-7</v>
      </c>
      <c r="C85" s="174">
        <f>Calculator!C92</f>
        <v>45918</v>
      </c>
      <c r="D85" s="175" t="str">
        <f>Calculator!T92</f>
        <v>M</v>
      </c>
    </row>
    <row r="86" spans="1:4">
      <c r="A86" s="60">
        <f t="shared" si="1"/>
        <v>1</v>
      </c>
      <c r="B86" s="61">
        <f>Calculator!A93</f>
        <v>-6</v>
      </c>
      <c r="C86" s="174">
        <f>Calculator!C93</f>
        <v>45919</v>
      </c>
      <c r="D86" s="175" t="str">
        <f>Calculator!T93</f>
        <v>M</v>
      </c>
    </row>
    <row r="87" spans="1:4">
      <c r="A87" s="60">
        <f t="shared" si="1"/>
        <v>1</v>
      </c>
      <c r="B87" s="61">
        <f>Calculator!A94</f>
        <v>-5</v>
      </c>
      <c r="C87" s="174">
        <f>Calculator!C94</f>
        <v>45920</v>
      </c>
      <c r="D87" s="175" t="str">
        <f>Calculator!T94</f>
        <v>M</v>
      </c>
    </row>
    <row r="88" spans="1:4">
      <c r="A88" s="60">
        <f t="shared" si="1"/>
        <v>1</v>
      </c>
      <c r="B88" s="61">
        <f>Calculator!A95</f>
        <v>-4</v>
      </c>
      <c r="C88" s="174">
        <f>Calculator!C95</f>
        <v>45921</v>
      </c>
      <c r="D88" s="175" t="str">
        <f>Calculator!T95</f>
        <v>M</v>
      </c>
    </row>
    <row r="89" spans="1:4">
      <c r="A89" s="60">
        <f t="shared" si="1"/>
        <v>1</v>
      </c>
      <c r="B89" s="61">
        <f>Calculator!A96</f>
        <v>-3</v>
      </c>
      <c r="C89" s="174">
        <f>Calculator!C96</f>
        <v>45922</v>
      </c>
      <c r="D89" s="175" t="str">
        <f>Calculator!T96</f>
        <v>M</v>
      </c>
    </row>
    <row r="90" spans="1:4">
      <c r="A90" s="60">
        <f t="shared" si="1"/>
        <v>1</v>
      </c>
      <c r="B90" s="61">
        <f>Calculator!A97</f>
        <v>-2</v>
      </c>
      <c r="C90" s="174">
        <f>Calculator!C97</f>
        <v>45923</v>
      </c>
      <c r="D90" s="175" t="str">
        <f>Calculator!T97</f>
        <v>M</v>
      </c>
    </row>
    <row r="91" spans="1:4">
      <c r="A91" s="60">
        <f t="shared" si="1"/>
        <v>1</v>
      </c>
      <c r="B91" s="61">
        <f>Calculator!A98</f>
        <v>-1</v>
      </c>
      <c r="C91" s="174">
        <f>Calculator!C98</f>
        <v>45924</v>
      </c>
      <c r="D91" s="175" t="str">
        <f>Calculator!T98</f>
        <v>M</v>
      </c>
    </row>
    <row r="92" spans="1:4">
      <c r="B92" s="61"/>
      <c r="C92" s="174"/>
    </row>
    <row r="93" spans="1:4">
      <c r="B93" s="61"/>
      <c r="C93" s="174"/>
    </row>
    <row r="94" spans="1:4">
      <c r="B94" s="61"/>
      <c r="C94" s="174"/>
    </row>
    <row r="95" spans="1:4">
      <c r="B95" s="61"/>
      <c r="C95" s="174"/>
    </row>
    <row r="96" spans="1:4">
      <c r="B96" s="61"/>
      <c r="C96" s="174"/>
    </row>
    <row r="97" spans="2:3">
      <c r="B97" s="61"/>
      <c r="C97" s="174"/>
    </row>
    <row r="98" spans="2:3">
      <c r="B98" s="61"/>
      <c r="C98" s="174"/>
    </row>
    <row r="99" spans="2:3">
      <c r="B99" s="61"/>
      <c r="C99" s="174"/>
    </row>
    <row r="100" spans="2:3">
      <c r="B100" s="61"/>
      <c r="C100" s="174"/>
    </row>
    <row r="101" spans="2:3">
      <c r="B101" s="61"/>
      <c r="C101" s="174"/>
    </row>
    <row r="102" spans="2:3">
      <c r="B102" s="61"/>
      <c r="C102" s="174"/>
    </row>
    <row r="103" spans="2:3">
      <c r="B103" s="61"/>
      <c r="C103" s="174"/>
    </row>
    <row r="104" spans="2:3">
      <c r="B104" s="61"/>
      <c r="C104" s="174"/>
    </row>
    <row r="105" spans="2:3">
      <c r="B105" s="61"/>
      <c r="C105" s="174"/>
    </row>
    <row r="106" spans="2:3">
      <c r="B106" s="61"/>
      <c r="C106" s="174"/>
    </row>
    <row r="107" spans="2:3">
      <c r="B107" s="61"/>
      <c r="C107" s="174"/>
    </row>
    <row r="108" spans="2:3">
      <c r="B108" s="61"/>
      <c r="C108" s="174"/>
    </row>
  </sheetData>
  <sheetProtection algorithmName="SHA-512" hashValue="ak4CcPDWCOWA/lUI8a1J6dVtqMTQ+1U6Gs4Tt7n+804YI2n/gmiOEjiBEdEefQNLhoo9sWWjcmq/bAzH+X7fyw==" saltValue="sqi7yugX1FnrePNG9YuYSw==" spinCount="100000" sheet="1"/>
  <phoneticPr fontId="28" type="noConversion"/>
  <pageMargins left="0.75" right="0.75" top="1" bottom="1" header="0.5" footer="0.5"/>
  <pageSetup orientation="portrait" horizontalDpi="0" verticalDpi="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7B8399485EEC44B03F5D433A2F8BE6" ma:contentTypeVersion="" ma:contentTypeDescription="Create a new document." ma:contentTypeScope="" ma:versionID="31407149d6e55e580116a45a63d1f5d8">
  <xsd:schema xmlns:xsd="http://www.w3.org/2001/XMLSchema" xmlns:xs="http://www.w3.org/2001/XMLSchema" xmlns:p="http://schemas.microsoft.com/office/2006/metadata/properties" xmlns:ns2="c2a70b9d-07b3-4789-b25d-058cacca3e62" xmlns:ns3="d5b9b7e0-51c0-4ee3-a86c-8ac94502d33e" xmlns:ns4="ff2f83e1-a2eb-46e7-8c8e-4d1f6a7fc2fa" targetNamespace="http://schemas.microsoft.com/office/2006/metadata/properties" ma:root="true" ma:fieldsID="720006fd8357e58f179aa90e5968fcc3" ns2:_="" ns3:_="" ns4:_="">
    <xsd:import namespace="c2a70b9d-07b3-4789-b25d-058cacca3e62"/>
    <xsd:import namespace="d5b9b7e0-51c0-4ee3-a86c-8ac94502d33e"/>
    <xsd:import namespace="ff2f83e1-a2eb-46e7-8c8e-4d1f6a7fc2f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a70b9d-07b3-4789-b25d-058cacca3e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4a97c2-cacc-416f-be36-7e8044c8b9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5b9b7e0-51c0-4ee3-a86c-8ac94502d33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2f83e1-a2eb-46e7-8c8e-4d1f6a7fc2f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189923a-8f81-4031-8e29-788326ad2cb4}" ma:internalName="TaxCatchAll" ma:showField="CatchAllData" ma:web="ff2f83e1-a2eb-46e7-8c8e-4d1f6a7fc2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1DF62D-94D2-465D-8D37-D19CC4F2F6DE}"/>
</file>

<file path=customXml/itemProps2.xml><?xml version="1.0" encoding="utf-8"?>
<ds:datastoreItem xmlns:ds="http://schemas.openxmlformats.org/officeDocument/2006/customXml" ds:itemID="{C998CD09-E416-45C8-A2C1-1A92EE6BF4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G. Devine and Megan Ryan</dc:creator>
  <cp:keywords/>
  <dc:description>This scoring tool is a privelegdes communication.  It may not be duplicated, circulated, reproduced or provided to unathorized individuals without prior written permission of the authors.</dc:description>
  <cp:lastModifiedBy>Guest User</cp:lastModifiedBy>
  <cp:revision/>
  <dcterms:created xsi:type="dcterms:W3CDTF">2007-09-09T18:13:00Z</dcterms:created>
  <dcterms:modified xsi:type="dcterms:W3CDTF">2025-09-25T21:34:09Z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ies>
</file>